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0" documentId="8_{B8FC6E26-13E5-4E34-A8D4-28715606B3AB}" xr6:coauthVersionLast="47" xr6:coauthVersionMax="47" xr10:uidLastSave="{00000000-0000-0000-0000-000000000000}"/>
  <bookViews>
    <workbookView xWindow="240" yWindow="105" windowWidth="14805" windowHeight="8010" activeTab="6" xr2:uid="{00000000-000D-0000-FFFF-FFFF00000000}"/>
  </bookViews>
  <sheets>
    <sheet name="Sales by Product" sheetId="3" r:id="rId1"/>
    <sheet name="Sales by Region" sheetId="4" r:id="rId2"/>
    <sheet name="Monthly sales Trend" sheetId="5" r:id="rId3"/>
    <sheet name="Sales by Salesperson" sheetId="6" r:id="rId4"/>
    <sheet name="Defect Rate by Product" sheetId="7" r:id="rId5"/>
    <sheet name="Sales" sheetId="1" r:id="rId6"/>
    <sheet name="Dashboard" sheetId="2" r:id="rId7"/>
  </sheets>
  <calcPr calcId="191028"/>
  <pivotCaches>
    <pivotCache cacheId="35" r:id="rId8"/>
    <pivotCache cacheId="4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2" l="1"/>
  <c r="B5" i="2"/>
  <c r="A8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A11" i="2"/>
  <c r="B8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</calcChain>
</file>

<file path=xl/sharedStrings.xml><?xml version="1.0" encoding="utf-8"?>
<sst xmlns="http://schemas.openxmlformats.org/spreadsheetml/2006/main" count="208" uniqueCount="73">
  <si>
    <t>Product</t>
  </si>
  <si>
    <t>Sum of Sales</t>
  </si>
  <si>
    <t>Sum of Profit</t>
  </si>
  <si>
    <t>Brake Disc</t>
  </si>
  <si>
    <t>Brake Pad</t>
  </si>
  <si>
    <t>Clutch Plate</t>
  </si>
  <si>
    <t>Gear Set</t>
  </si>
  <si>
    <t>Grand Total</t>
  </si>
  <si>
    <t>Region</t>
  </si>
  <si>
    <t>Aurangabad</t>
  </si>
  <si>
    <t>Mumbai</t>
  </si>
  <si>
    <t>Nashik</t>
  </si>
  <si>
    <t>Pune</t>
  </si>
  <si>
    <t>Month</t>
  </si>
  <si>
    <t>Jan</t>
  </si>
  <si>
    <t>Feb</t>
  </si>
  <si>
    <t>Mar</t>
  </si>
  <si>
    <t>Salesperson</t>
  </si>
  <si>
    <t>Amit</t>
  </si>
  <si>
    <t>Priya</t>
  </si>
  <si>
    <t>Rahul</t>
  </si>
  <si>
    <t>Average of Defect Rate</t>
  </si>
  <si>
    <t>Date</t>
  </si>
  <si>
    <t>Order_ID</t>
  </si>
  <si>
    <t>Plant</t>
  </si>
  <si>
    <t>Units_Produced</t>
  </si>
  <si>
    <t>Units_Sold</t>
  </si>
  <si>
    <t>Sales</t>
  </si>
  <si>
    <t>Cost</t>
  </si>
  <si>
    <t>Defects</t>
  </si>
  <si>
    <t>Profit</t>
  </si>
  <si>
    <t>Unsold units</t>
  </si>
  <si>
    <t>Defect Rate</t>
  </si>
  <si>
    <t>Sales Conversion</t>
  </si>
  <si>
    <t>ORD001</t>
  </si>
  <si>
    <t>Waluj</t>
  </si>
  <si>
    <t>ORD002</t>
  </si>
  <si>
    <t>Bidkin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</si>
  <si>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</si>
  <si>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</si>
  <si>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</si>
  <si>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</si>
  <si>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</si>
  <si>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</si>
  <si>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</si>
  <si>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</si>
  <si>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</si>
  <si>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</si>
  <si>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</si>
  <si>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</si>
  <si>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</si>
  <si>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</si>
  <si>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</si>
  <si>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</si>
  <si>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</si>
  <si>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</si>
  <si>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</si>
  <si>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</si>
  <si>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</si>
  <si>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</si>
  <si>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</si>
  <si>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</si>
  <si>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</si>
  <si>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</si>
  <si>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</si>
  <si>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</si>
  <si>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MAHAAUTO COMPONENT</t>
  </si>
  <si>
    <t>SALES &amp; PRODUCTION ANALYSIS DASHBOARD</t>
  </si>
  <si>
    <t>Total sales</t>
  </si>
  <si>
    <t>Total Profit</t>
  </si>
  <si>
    <t>Total Unit Produced</t>
  </si>
  <si>
    <t>Total Unit Sold</t>
  </si>
  <si>
    <t>Average Defect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</si>
</sst>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0" fillId="0" borderId="0" xfId="0" applyNumberFormat="1"/>
    <xf numFmtId="9" fontId="0" fillId="2" borderId="1" xfId="0" applyNumberFormat="1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/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2" fontId="2" fillId="2" borderId="1" xfId="0" applyNumberFormat="1" applyFont="1" applyFill="1" applyBorder="1" applyAlignment="1">
      <alignment horizontal="center" vertical="center"/>
    </xf>
    <xf numFmtId="9" fontId="2" fillId="0" borderId="0" xfId="0" applyNumberFormat="1" applyFont="1"/>
    <xf numFmtId="9" fontId="2" fillId="2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10.xlsx]Sales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layout>
        <c:manualLayout>
          <c:xMode val="edge"/>
          <c:yMode val="edge"/>
          <c:x val="0.408659743835502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Product'!$A$4:$A$8</c:f>
              <c:strCache>
                <c:ptCount val="4"/>
                <c:pt idx="0">
                  <c:v>Brake Disc</c:v>
                </c:pt>
                <c:pt idx="1">
                  <c:v>Brake Pad</c:v>
                </c:pt>
                <c:pt idx="2">
                  <c:v>Clutch Plate</c:v>
                </c:pt>
                <c:pt idx="3">
                  <c:v>Gear Set</c:v>
                </c:pt>
              </c:strCache>
            </c:strRef>
          </c:cat>
          <c:val>
            <c:numRef>
              <c:f>'Sales by Product'!$B$4:$B$8</c:f>
              <c:numCache>
                <c:formatCode>General</c:formatCode>
                <c:ptCount val="4"/>
                <c:pt idx="0">
                  <c:v>2180000</c:v>
                </c:pt>
                <c:pt idx="1">
                  <c:v>1137000</c:v>
                </c:pt>
                <c:pt idx="2">
                  <c:v>1596000</c:v>
                </c:pt>
                <c:pt idx="3">
                  <c:v>3038000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0-4DED-8B55-099D194BF386}"/>
            </c:ext>
          </c:extLst>
        </c:ser>
        <c:ser>
          <c:idx val="1"/>
          <c:order val="1"/>
          <c:tx>
            <c:strRef>
              <c:f>'Sales by Product'!$C$3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Product'!$A$4:$A$8</c:f>
              <c:strCache>
                <c:ptCount val="4"/>
                <c:pt idx="0">
                  <c:v>Brake Disc</c:v>
                </c:pt>
                <c:pt idx="1">
                  <c:v>Brake Pad</c:v>
                </c:pt>
                <c:pt idx="2">
                  <c:v>Clutch Plate</c:v>
                </c:pt>
                <c:pt idx="3">
                  <c:v>Gear Set</c:v>
                </c:pt>
              </c:strCache>
            </c:strRef>
          </c:cat>
          <c:val>
            <c:numRef>
              <c:f>'Sales by Product'!$C$4:$C$8</c:f>
              <c:numCache>
                <c:formatCode>General</c:formatCode>
                <c:ptCount val="4"/>
                <c:pt idx="0">
                  <c:v>475000</c:v>
                </c:pt>
                <c:pt idx="1">
                  <c:v>259000</c:v>
                </c:pt>
                <c:pt idx="2">
                  <c:v>353000</c:v>
                </c:pt>
                <c:pt idx="3">
                  <c:v>678000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00-4DED-8B55-099D194BF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00839"/>
        <c:axId val="134206983"/>
      </c:barChart>
      <c:catAx>
        <c:axId val="13420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6983"/>
        <c:crosses val="autoZero"/>
        <c:auto val="1"/>
        <c:lblAlgn val="ctr"/>
        <c:lblOffset val="100"/>
        <c:noMultiLvlLbl val="0"/>
      </c:catAx>
      <c:valAx>
        <c:axId val="134206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10.xlsx]Sales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Aurangabad</c:v>
                </c:pt>
                <c:pt idx="1">
                  <c:v>Mumbai</c:v>
                </c:pt>
                <c:pt idx="2">
                  <c:v>Nashik</c:v>
                </c:pt>
                <c:pt idx="3">
                  <c:v>Pune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2374000</c:v>
                </c:pt>
                <c:pt idx="1">
                  <c:v>1698000</c:v>
                </c:pt>
                <c:pt idx="2">
                  <c:v>1634000</c:v>
                </c:pt>
                <c:pt idx="3">
                  <c:v>2245000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1-4054-A6EA-51264D1C33C7}"/>
            </c:ext>
          </c:extLst>
        </c:ser>
        <c:ser>
          <c:idx val="1"/>
          <c:order val="1"/>
          <c:tx>
            <c:strRef>
              <c:f>'Sales by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Aurangabad</c:v>
                </c:pt>
                <c:pt idx="1">
                  <c:v>Mumbai</c:v>
                </c:pt>
                <c:pt idx="2">
                  <c:v>Nashik</c:v>
                </c:pt>
                <c:pt idx="3">
                  <c:v>Pune</c:v>
                </c:pt>
              </c:strCache>
            </c:strRef>
          </c:cat>
          <c:val>
            <c:numRef>
              <c:f>'Sales by Region'!$C$4:$C$8</c:f>
              <c:numCache>
                <c:formatCode>General</c:formatCode>
                <c:ptCount val="4"/>
                <c:pt idx="0">
                  <c:v>516000</c:v>
                </c:pt>
                <c:pt idx="1">
                  <c:v>368000</c:v>
                </c:pt>
                <c:pt idx="2">
                  <c:v>366000</c:v>
                </c:pt>
                <c:pt idx="3">
                  <c:v>515000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A1-4054-A6EA-51264D1C3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099336"/>
        <c:axId val="864121864"/>
      </c:barChart>
      <c:catAx>
        <c:axId val="86409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121864"/>
        <c:crosses val="autoZero"/>
        <c:auto val="1"/>
        <c:lblAlgn val="ctr"/>
        <c:lblOffset val="100"/>
        <c:noMultiLvlLbl val="0"/>
      </c:catAx>
      <c:valAx>
        <c:axId val="86412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10.xlsx]Monthly sales Trend!PivotTable4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sales Trend'!$B$4:$B$7</c:f>
              <c:numCache>
                <c:formatCode>General</c:formatCode>
                <c:ptCount val="3"/>
                <c:pt idx="0">
                  <c:v>2321000</c:v>
                </c:pt>
                <c:pt idx="1">
                  <c:v>2439000</c:v>
                </c:pt>
                <c:pt idx="2">
                  <c:v>3191000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F-4C47-89A8-B9C9C1E8E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062024"/>
        <c:axId val="871081480"/>
      </c:lineChart>
      <c:catAx>
        <c:axId val="87106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81480"/>
        <c:crosses val="autoZero"/>
        <c:auto val="1"/>
        <c:lblAlgn val="ctr"/>
        <c:lblOffset val="100"/>
        <c:noMultiLvlLbl val="0"/>
      </c:catAx>
      <c:valAx>
        <c:axId val="87108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6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10.xlsx]Sales by Salesperson!PivotTable5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layout>
        <c:manualLayout>
          <c:xMode val="edge"/>
          <c:yMode val="edge"/>
          <c:x val="0.33081241225195057"/>
          <c:y val="2.5694423251681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Salesperson'!$A$4:$A$7</c:f>
              <c:strCache>
                <c:ptCount val="3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</c:strCache>
            </c:strRef>
          </c:cat>
          <c:val>
            <c:numRef>
              <c:f>'Sales by Salesperson'!$B$4:$B$7</c:f>
              <c:numCache>
                <c:formatCode>General</c:formatCode>
                <c:ptCount val="3"/>
                <c:pt idx="0">
                  <c:v>633000</c:v>
                </c:pt>
                <c:pt idx="1">
                  <c:v>594000</c:v>
                </c:pt>
                <c:pt idx="2">
                  <c:v>538000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6-49E1-92DD-AF1729DD2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053320"/>
        <c:axId val="866305032"/>
      </c:barChart>
      <c:catAx>
        <c:axId val="87105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305032"/>
        <c:crosses val="autoZero"/>
        <c:auto val="1"/>
        <c:lblAlgn val="ctr"/>
        <c:lblOffset val="100"/>
        <c:noMultiLvlLbl val="0"/>
      </c:catAx>
      <c:valAx>
        <c:axId val="86630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5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10.xlsx]Defect Rate by Product!PivotTable6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Rate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Rate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'Defect Rate by Product'!$A$4:$A$8</c:f>
              <c:strCache>
                <c:ptCount val="4"/>
                <c:pt idx="0">
                  <c:v>Brake Disc</c:v>
                </c:pt>
                <c:pt idx="1">
                  <c:v>Brake Pad</c:v>
                </c:pt>
                <c:pt idx="2">
                  <c:v>Clutch Plate</c:v>
                </c:pt>
                <c:pt idx="3">
                  <c:v>Gear Set</c:v>
                </c:pt>
              </c:strCache>
            </c:strRef>
          </c:cat>
          <c:val>
            <c:numRef>
              <c:f>'Defect Rate by Product'!$B$4:$B$8</c:f>
              <c:numCache>
                <c:formatCode>0%</c:formatCode>
                <c:ptCount val="4"/>
                <c:pt idx="0">
                  <c:v>2.147361308046792E-2</c:v>
                </c:pt>
                <c:pt idx="1">
                  <c:v>2.7574582824582822E-2</c:v>
                </c:pt>
                <c:pt idx="2">
                  <c:v>1.8384838908866368E-2</c:v>
                </c:pt>
                <c:pt idx="3">
                  <c:v>1.9654694365309647E-2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D-42D3-9AA9-650C7446C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280"/>
        <c:axId val="376328"/>
      </c:barChart>
      <c:catAx>
        <c:axId val="37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328"/>
        <c:crosses val="autoZero"/>
        <c:auto val="1"/>
        <c:lblAlgn val="ctr"/>
        <c:lblOffset val="100"/>
        <c:noMultiLvlLbl val="0"/>
      </c:catAx>
      <c:valAx>
        <c:axId val="37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10.xlsx]Sales by Product!PivotTable1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layout>
        <c:manualLayout>
          <c:xMode val="edge"/>
          <c:yMode val="edge"/>
          <c:x val="0.408659743835502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Product'!$A$4:$A$8</c:f>
              <c:strCache>
                <c:ptCount val="4"/>
                <c:pt idx="0">
                  <c:v>Brake Disc</c:v>
                </c:pt>
                <c:pt idx="1">
                  <c:v>Brake Pad</c:v>
                </c:pt>
                <c:pt idx="2">
                  <c:v>Clutch Plate</c:v>
                </c:pt>
                <c:pt idx="3">
                  <c:v>Gear Set</c:v>
                </c:pt>
              </c:strCache>
            </c:strRef>
          </c:cat>
          <c:val>
            <c:numRef>
              <c:f>'Sales by Product'!$B$4:$B$8</c:f>
              <c:numCache>
                <c:formatCode>General</c:formatCode>
                <c:ptCount val="4"/>
                <c:pt idx="0">
                  <c:v>2180000</c:v>
                </c:pt>
                <c:pt idx="1">
                  <c:v>1137000</c:v>
                </c:pt>
                <c:pt idx="2">
                  <c:v>1596000</c:v>
                </c:pt>
                <c:pt idx="3">
                  <c:v>3038000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9-448D-98B2-2BF347343939}"/>
            </c:ext>
          </c:extLst>
        </c:ser>
        <c:ser>
          <c:idx val="1"/>
          <c:order val="1"/>
          <c:tx>
            <c:strRef>
              <c:f>'Sales by Product'!$C$3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Product'!$A$4:$A$8</c:f>
              <c:strCache>
                <c:ptCount val="4"/>
                <c:pt idx="0">
                  <c:v>Brake Disc</c:v>
                </c:pt>
                <c:pt idx="1">
                  <c:v>Brake Pad</c:v>
                </c:pt>
                <c:pt idx="2">
                  <c:v>Clutch Plate</c:v>
                </c:pt>
                <c:pt idx="3">
                  <c:v>Gear Set</c:v>
                </c:pt>
              </c:strCache>
            </c:strRef>
          </c:cat>
          <c:val>
            <c:numRef>
              <c:f>'Sales by Product'!$C$4:$C$8</c:f>
              <c:numCache>
                <c:formatCode>General</c:formatCode>
                <c:ptCount val="4"/>
                <c:pt idx="0">
                  <c:v>475000</c:v>
                </c:pt>
                <c:pt idx="1">
                  <c:v>259000</c:v>
                </c:pt>
                <c:pt idx="2">
                  <c:v>353000</c:v>
                </c:pt>
                <c:pt idx="3">
                  <c:v>678000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9-448D-98B2-2BF347343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00839"/>
        <c:axId val="134206983"/>
      </c:barChart>
      <c:catAx>
        <c:axId val="13420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6983"/>
        <c:crosses val="autoZero"/>
        <c:auto val="1"/>
        <c:lblAlgn val="ctr"/>
        <c:lblOffset val="100"/>
        <c:noMultiLvlLbl val="0"/>
      </c:catAx>
      <c:valAx>
        <c:axId val="134206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10.xlsx]Sales by Region!PivotTable2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Aurangabad</c:v>
                </c:pt>
                <c:pt idx="1">
                  <c:v>Mumbai</c:v>
                </c:pt>
                <c:pt idx="2">
                  <c:v>Nashik</c:v>
                </c:pt>
                <c:pt idx="3">
                  <c:v>Pune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2374000</c:v>
                </c:pt>
                <c:pt idx="1">
                  <c:v>1698000</c:v>
                </c:pt>
                <c:pt idx="2">
                  <c:v>1634000</c:v>
                </c:pt>
                <c:pt idx="3">
                  <c:v>2245000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D-4C6E-A769-8B00CACFCB70}"/>
            </c:ext>
          </c:extLst>
        </c:ser>
        <c:ser>
          <c:idx val="1"/>
          <c:order val="1"/>
          <c:tx>
            <c:strRef>
              <c:f>'Sales by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Aurangabad</c:v>
                </c:pt>
                <c:pt idx="1">
                  <c:v>Mumbai</c:v>
                </c:pt>
                <c:pt idx="2">
                  <c:v>Nashik</c:v>
                </c:pt>
                <c:pt idx="3">
                  <c:v>Pune</c:v>
                </c:pt>
              </c:strCache>
            </c:strRef>
          </c:cat>
          <c:val>
            <c:numRef>
              <c:f>'Sales by Region'!$C$4:$C$8</c:f>
              <c:numCache>
                <c:formatCode>General</c:formatCode>
                <c:ptCount val="4"/>
                <c:pt idx="0">
                  <c:v>516000</c:v>
                </c:pt>
                <c:pt idx="1">
                  <c:v>368000</c:v>
                </c:pt>
                <c:pt idx="2">
                  <c:v>366000</c:v>
                </c:pt>
                <c:pt idx="3">
                  <c:v>515000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D-4C6E-A769-8B00CACFC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099336"/>
        <c:axId val="864121864"/>
      </c:barChart>
      <c:catAx>
        <c:axId val="86409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121864"/>
        <c:crosses val="autoZero"/>
        <c:auto val="1"/>
        <c:lblAlgn val="ctr"/>
        <c:lblOffset val="100"/>
        <c:noMultiLvlLbl val="0"/>
      </c:catAx>
      <c:valAx>
        <c:axId val="86412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10.xlsx]Monthly sales Trend!PivotTable4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sales Trend'!$B$4:$B$7</c:f>
              <c:numCache>
                <c:formatCode>General</c:formatCode>
                <c:ptCount val="3"/>
                <c:pt idx="0">
                  <c:v>2321000</c:v>
                </c:pt>
                <c:pt idx="1">
                  <c:v>2439000</c:v>
                </c:pt>
                <c:pt idx="2">
                  <c:v>3191000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4-4F1A-AFB3-97C0729F7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062024"/>
        <c:axId val="871081480"/>
      </c:lineChart>
      <c:catAx>
        <c:axId val="87106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81480"/>
        <c:crosses val="autoZero"/>
        <c:auto val="1"/>
        <c:lblAlgn val="ctr"/>
        <c:lblOffset val="100"/>
        <c:noMultiLvlLbl val="0"/>
      </c:catAx>
      <c:valAx>
        <c:axId val="87108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6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10.xlsx]Sales by Salesperson!PivotTable5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layout>
        <c:manualLayout>
          <c:xMode val="edge"/>
          <c:yMode val="edge"/>
          <c:x val="0.33081241225195057"/>
          <c:y val="2.5694423251681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Salesperson'!$A$4:$A$7</c:f>
              <c:strCache>
                <c:ptCount val="3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</c:strCache>
            </c:strRef>
          </c:cat>
          <c:val>
            <c:numRef>
              <c:f>'Sales by Salesperson'!$B$4:$B$7</c:f>
              <c:numCache>
                <c:formatCode>General</c:formatCode>
                <c:ptCount val="3"/>
                <c:pt idx="0">
                  <c:v>633000</c:v>
                </c:pt>
                <c:pt idx="1">
                  <c:v>594000</c:v>
                </c:pt>
                <c:pt idx="2">
                  <c:v>538000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3-471E-9125-5A7EA4917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053320"/>
        <c:axId val="866305032"/>
      </c:barChart>
      <c:catAx>
        <c:axId val="871053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305032"/>
        <c:crosses val="autoZero"/>
        <c:auto val="1"/>
        <c:lblAlgn val="ctr"/>
        <c:lblOffset val="100"/>
        <c:noMultiLvlLbl val="0"/>
      </c:catAx>
      <c:valAx>
        <c:axId val="86630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5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10.xlsx]Defect Rate by Product!PivotTable6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Rate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Rate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'Defect Rate by Product'!$A$4:$A$8</c:f>
              <c:strCache>
                <c:ptCount val="4"/>
                <c:pt idx="0">
                  <c:v>Brake Disc</c:v>
                </c:pt>
                <c:pt idx="1">
                  <c:v>Brake Pad</c:v>
                </c:pt>
                <c:pt idx="2">
                  <c:v>Clutch Plate</c:v>
                </c:pt>
                <c:pt idx="3">
                  <c:v>Gear Set</c:v>
                </c:pt>
              </c:strCache>
            </c:strRef>
          </c:cat>
          <c:val>
            <c:numRef>
              <c:f>'Defect Rate by Product'!$B$4:$B$8</c:f>
              <c:numCache>
                <c:formatCode>0%</c:formatCode>
                <c:ptCount val="4"/>
                <c:pt idx="0">
                  <c:v>2.147361308046792E-2</c:v>
                </c:pt>
                <c:pt idx="1">
                  <c:v>2.7574582824582822E-2</c:v>
                </c:pt>
                <c:pt idx="2">
                  <c:v>1.8384838908866368E-2</c:v>
                </c:pt>
                <c:pt idx="3">
                  <c:v>1.9654694365309647E-2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3-417A-97DF-7C74C349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280"/>
        <c:axId val="376328"/>
      </c:barChart>
      <c:catAx>
        <c:axId val="37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328"/>
        <c:crosses val="autoZero"/>
        <c:auto val="1"/>
        <c:lblAlgn val="ctr"/>
        <c:lblOffset val="100"/>
        <c:noMultiLvlLbl val="0"/>
      </c:catAx>
      <c:valAx>
        <c:axId val="37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161925</xdr:rowOff>
    </xdr:from>
    <xdr:to>
      <xdr:col>11</xdr:col>
      <xdr:colOff>342900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3FD9A-60F0-459E-A5CF-9BA97C895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180975</xdr:rowOff>
    </xdr:from>
    <xdr:to>
      <xdr:col>11</xdr:col>
      <xdr:colOff>314325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75E64-491E-33A7-B324-D2DF90B28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9525</xdr:rowOff>
    </xdr:from>
    <xdr:to>
      <xdr:col>10</xdr:col>
      <xdr:colOff>285750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0F020-4105-5CA3-2F0D-43D5AF1EC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57150</xdr:rowOff>
    </xdr:from>
    <xdr:to>
      <xdr:col>10</xdr:col>
      <xdr:colOff>466725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D8051-3EE0-EAEA-07A8-84C228EAF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3</xdr:row>
      <xdr:rowOff>57150</xdr:rowOff>
    </xdr:from>
    <xdr:to>
      <xdr:col>10</xdr:col>
      <xdr:colOff>66675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751FD-126A-B0E0-D68C-35D1F2470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9525</xdr:rowOff>
    </xdr:from>
    <xdr:to>
      <xdr:col>0</xdr:col>
      <xdr:colOff>4857750</xdr:colOff>
      <xdr:row>23</xdr:row>
      <xdr:rowOff>28575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48A0E21-DC22-4031-BF1A-81BAAA3E9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12</xdr:row>
      <xdr:rowOff>0</xdr:rowOff>
    </xdr:from>
    <xdr:to>
      <xdr:col>1</xdr:col>
      <xdr:colOff>4743450</xdr:colOff>
      <xdr:row>23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FACB99-3D0C-436D-996D-DF5CEBD14CC1}"/>
            </a:ext>
            <a:ext uri="{147F2762-F138-4A5C-976F-8EAC2B608ADB}">
              <a16:predDERef xmlns:a16="http://schemas.microsoft.com/office/drawing/2014/main" pred="{E48A0E21-DC22-4031-BF1A-81BAAA3E9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2724150</xdr:colOff>
      <xdr:row>35</xdr:row>
      <xdr:rowOff>57150</xdr:rowOff>
    </xdr:from>
    <xdr:to>
      <xdr:col>1</xdr:col>
      <xdr:colOff>2314575</xdr:colOff>
      <xdr:row>48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C5EB52-6CA8-435B-9AD3-EE9134F5A4CE}"/>
            </a:ext>
            <a:ext uri="{147F2762-F138-4A5C-976F-8EAC2B608ADB}">
              <a16:predDERef xmlns:a16="http://schemas.microsoft.com/office/drawing/2014/main" pred="{6BFACB99-3D0C-436D-996D-DF5CEBD14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85725</xdr:rowOff>
    </xdr:from>
    <xdr:to>
      <xdr:col>0</xdr:col>
      <xdr:colOff>4857750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EF5114-193E-4644-8D46-3BF5B0F75EC4}"/>
            </a:ext>
            <a:ext uri="{147F2762-F138-4A5C-976F-8EAC2B608ADB}">
              <a16:predDERef xmlns:a16="http://schemas.microsoft.com/office/drawing/2014/main" pred="{F5C5EB52-6CA8-435B-9AD3-EE9134F5A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23</xdr:row>
      <xdr:rowOff>152400</xdr:rowOff>
    </xdr:from>
    <xdr:to>
      <xdr:col>1</xdr:col>
      <xdr:colOff>4791075</xdr:colOff>
      <xdr:row>34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E0359E-C337-49F1-AC37-4E22771EB6A4}"/>
            </a:ext>
            <a:ext uri="{147F2762-F138-4A5C-976F-8EAC2B608ADB}">
              <a16:predDERef xmlns:a16="http://schemas.microsoft.com/office/drawing/2014/main" pred="{CBEF5114-193E-4644-8D46-3BF5B0F75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8.976487731481" createdVersion="8" refreshedVersion="8" minRefreshableVersion="3" recordCount="30" xr:uid="{140A55CE-E197-4FA2-A810-081A323B36E3}">
  <cacheSource type="worksheet">
    <worksheetSource ref="A1:O31" sheet="Sales"/>
  </cacheSource>
  <cacheFields count="15">
    <cacheField name="Date" numFmtId="15">
      <sharedItems containsSemiMixedTypes="0" containsNonDate="0" containsDate="1" containsString="0" minDate="2026-01-01T00:00:00" maxDate="2026-04-01T00:00:00" count="30">
        <d v="2026-01-01T00:00:00"/>
        <d v="2026-01-03T00:00:00"/>
        <d v="2026-01-05T00:00:00"/>
        <d v="2026-01-08T00:00:00"/>
        <d v="2026-01-12T00:00:00"/>
        <d v="2026-01-15T00:00:00"/>
        <d v="2026-01-18T00:00:00"/>
        <d v="2026-01-22T00:00:00"/>
        <d v="2026-01-25T00:00:00"/>
        <d v="2026-01-28T00:00:00"/>
        <d v="2026-02-02T00:00:00"/>
        <d v="2026-02-05T00:00:00"/>
        <d v="2026-02-08T00:00:00"/>
        <d v="2026-02-11T00:00:00"/>
        <d v="2026-02-14T00:00:00"/>
        <d v="2026-02-18T00:00:00"/>
        <d v="2026-02-21T00:00:00"/>
        <d v="2026-02-24T00:00:00"/>
        <d v="2026-02-27T00:00:00"/>
        <d v="2026-03-02T00:00:00"/>
        <d v="2026-03-05T00:00:00"/>
        <d v="2026-03-08T00:00:00"/>
        <d v="2026-03-11T00:00:00"/>
        <d v="2026-03-14T00:00:00"/>
        <d v="2026-03-17T00:00:00"/>
        <d v="2026-03-20T00:00:00"/>
        <d v="2026-03-23T00:00:00"/>
        <d v="2026-03-26T00:00:00"/>
        <d v="2026-03-29T00:00:00"/>
        <d v="2026-03-31T00:00:00"/>
      </sharedItems>
    </cacheField>
    <cacheField name="Order_ID" numFmtId="0">
      <sharedItems/>
    </cacheField>
    <cacheField name="Plant" numFmtId="0">
      <sharedItems/>
    </cacheField>
    <cacheField name="Region" numFmtId="0">
      <sharedItems count="4">
        <s v="Aurangabad"/>
        <s v="Pune"/>
        <s v="Mumbai"/>
        <s v="Nashik"/>
      </sharedItems>
    </cacheField>
    <cacheField name="Product" numFmtId="0">
      <sharedItems count="4">
        <s v="Brake Disc"/>
        <s v="Gear Set"/>
        <s v="Brake Pad"/>
        <s v="Clutch Plate"/>
      </sharedItems>
    </cacheField>
    <cacheField name="Salesperson" numFmtId="0">
      <sharedItems/>
    </cacheField>
    <cacheField name="Units_Produced" numFmtId="0">
      <sharedItems containsSemiMixedTypes="0" containsString="0" containsNumber="1" containsInteger="1" minValue="350" maxValue="800"/>
    </cacheField>
    <cacheField name="Units_Sold" numFmtId="0">
      <sharedItems containsSemiMixedTypes="0" containsString="0" containsNumber="1" containsInteger="1" minValue="300" maxValue="720"/>
    </cacheField>
    <cacheField name="Sales" numFmtId="0">
      <sharedItems containsSemiMixedTypes="0" containsString="0" containsNumber="1" containsInteger="1" minValue="162000" maxValue="434000"/>
    </cacheField>
    <cacheField name="Cost" numFmtId="0">
      <sharedItems containsSemiMixedTypes="0" containsString="0" containsNumber="1" containsInteger="1" minValue="125000" maxValue="335000"/>
    </cacheField>
    <cacheField name="Defects" numFmtId="0">
      <sharedItems containsSemiMixedTypes="0" containsString="0" containsNumber="1" containsInteger="1" minValue="6" maxValue="24"/>
    </cacheField>
    <cacheField name="Profit" numFmtId="0">
      <sharedItems containsSemiMixedTypes="0" containsString="0" containsNumber="1" containsInteger="1" minValue="37000" maxValue="99000"/>
    </cacheField>
    <cacheField name="Unsold units" numFmtId="0">
      <sharedItems containsSemiMixedTypes="0" containsString="0" containsNumber="1" containsInteger="1" minValue="20" maxValue="80"/>
    </cacheField>
    <cacheField name="Defect Rate" numFmtId="9">
      <sharedItems containsSemiMixedTypes="0" containsString="0" containsNumber="1" minValue="1.4285714285714285E-2" maxValue="0.03"/>
    </cacheField>
    <cacheField name="Sales Conversion" numFmtId="9">
      <sharedItems containsSemiMixedTypes="0" containsString="0" containsNumber="1" minValue="0.8571428571428571" maxValue="0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8.988976388886" createdVersion="8" refreshedVersion="8" minRefreshableVersion="3" recordCount="30" xr:uid="{736D37FC-06FB-4D77-A208-823FEE8887C1}">
  <cacheSource type="worksheet">
    <worksheetSource ref="A1:P31" sheet="Sales"/>
  </cacheSource>
  <cacheFields count="16">
    <cacheField name="Date" numFmtId="15">
      <sharedItems containsSemiMixedTypes="0" containsNonDate="0" containsDate="1" containsString="0" minDate="2026-01-01T00:00:00" maxDate="2026-04-01T00:00:00"/>
    </cacheField>
    <cacheField name="Order_ID" numFmtId="0">
      <sharedItems/>
    </cacheField>
    <cacheField name="Plant" numFmtId="0">
      <sharedItems/>
    </cacheField>
    <cacheField name="Region" numFmtId="0">
      <sharedItems/>
    </cacheField>
    <cacheField name="Product" numFmtId="0">
      <sharedItems count="4">
        <s v="Brake Disc"/>
        <s v="Gear Set"/>
        <s v="Brake Pad"/>
        <s v="Clutch Plate"/>
      </sharedItems>
    </cacheField>
    <cacheField name="Salesperson" numFmtId="0">
      <sharedItems count="3">
        <s v="Amit"/>
        <s v="Rahul"/>
        <s v="Priya"/>
      </sharedItems>
    </cacheField>
    <cacheField name="Units_Produced" numFmtId="0">
      <sharedItems containsSemiMixedTypes="0" containsString="0" containsNumber="1" containsInteger="1" minValue="350" maxValue="800"/>
    </cacheField>
    <cacheField name="Units_Sold" numFmtId="0">
      <sharedItems containsSemiMixedTypes="0" containsString="0" containsNumber="1" containsInteger="1" minValue="300" maxValue="720"/>
    </cacheField>
    <cacheField name="Sales" numFmtId="0">
      <sharedItems containsSemiMixedTypes="0" containsString="0" containsNumber="1" containsInteger="1" minValue="162000" maxValue="434000"/>
    </cacheField>
    <cacheField name="Cost" numFmtId="0">
      <sharedItems containsSemiMixedTypes="0" containsString="0" containsNumber="1" containsInteger="1" minValue="125000" maxValue="335000"/>
    </cacheField>
    <cacheField name="Defects" numFmtId="0">
      <sharedItems containsSemiMixedTypes="0" containsString="0" containsNumber="1" containsInteger="1" minValue="6" maxValue="24"/>
    </cacheField>
    <cacheField name="Profit" numFmtId="0">
      <sharedItems containsSemiMixedTypes="0" containsString="0" containsNumber="1" containsInteger="1" minValue="37000" maxValue="99000"/>
    </cacheField>
    <cacheField name="Unsold units" numFmtId="0">
      <sharedItems containsSemiMixedTypes="0" containsString="0" containsNumber="1" containsInteger="1" minValue="20" maxValue="80"/>
    </cacheField>
    <cacheField name="Defect Rate" numFmtId="9">
      <sharedItems containsSemiMixedTypes="0" containsString="0" containsNumber="1" minValue="1.4285714285714285E-2" maxValue="0.03"/>
    </cacheField>
    <cacheField name="Sales Conversion" numFmtId="9">
      <sharedItems containsSemiMixedTypes="0" containsString="0" containsNumber="1" minValue="0.8571428571428571" maxValue="0.95"/>
    </cacheField>
    <cacheField name="Month" numFmtId="9">
      <sharedItems count="3">
        <s v="Jan"/>
        <s v="Feb"/>
        <s v="M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ORD001"/>
    <s v="Waluj"/>
    <x v="0"/>
    <x v="0"/>
    <s v="Amit"/>
    <n v="500"/>
    <n v="450"/>
    <n v="225000"/>
    <n v="180000"/>
    <n v="12"/>
    <n v="45000"/>
    <n v="50"/>
    <n v="2.4E-2"/>
    <n v="0.9"/>
  </r>
  <r>
    <x v="1"/>
    <s v="ORD002"/>
    <s v="Bidkin"/>
    <x v="0"/>
    <x v="1"/>
    <s v="Rahul"/>
    <n v="400"/>
    <n v="380"/>
    <n v="266000"/>
    <n v="210000"/>
    <n v="8"/>
    <n v="56000"/>
    <n v="20"/>
    <n v="0.02"/>
    <n v="0.95"/>
  </r>
  <r>
    <x v="2"/>
    <s v="ORD003"/>
    <s v="Waluj"/>
    <x v="1"/>
    <x v="2"/>
    <s v="Priya"/>
    <n v="600"/>
    <n v="540"/>
    <n v="162000"/>
    <n v="125000"/>
    <n v="15"/>
    <n v="37000"/>
    <n v="60"/>
    <n v="2.5000000000000001E-2"/>
    <n v="0.9"/>
  </r>
  <r>
    <x v="3"/>
    <s v="ORD004"/>
    <s v="Bidkin"/>
    <x v="2"/>
    <x v="1"/>
    <s v="Amit"/>
    <n v="450"/>
    <n v="420"/>
    <n v="294000"/>
    <n v="235000"/>
    <n v="10"/>
    <n v="59000"/>
    <n v="30"/>
    <n v="2.2222222222222223E-2"/>
    <n v="0.93333333333333335"/>
  </r>
  <r>
    <x v="4"/>
    <s v="ORD005"/>
    <s v="Waluj"/>
    <x v="3"/>
    <x v="3"/>
    <s v="Rahul"/>
    <n v="350"/>
    <n v="300"/>
    <n v="180000"/>
    <n v="140000"/>
    <n v="7"/>
    <n v="40000"/>
    <n v="50"/>
    <n v="0.02"/>
    <n v="0.8571428571428571"/>
  </r>
  <r>
    <x v="5"/>
    <s v="ORD006"/>
    <s v="Bidkin"/>
    <x v="1"/>
    <x v="0"/>
    <s v="Priya"/>
    <n v="550"/>
    <n v="500"/>
    <n v="250000"/>
    <n v="195000"/>
    <n v="11"/>
    <n v="55000"/>
    <n v="50"/>
    <n v="0.02"/>
    <n v="0.90909090909090906"/>
  </r>
  <r>
    <x v="6"/>
    <s v="ORD007"/>
    <s v="Waluj"/>
    <x v="2"/>
    <x v="2"/>
    <s v="Amit"/>
    <n v="700"/>
    <n v="620"/>
    <n v="186000"/>
    <n v="145000"/>
    <n v="20"/>
    <n v="41000"/>
    <n v="80"/>
    <n v="2.8571428571428571E-2"/>
    <n v="0.88571428571428568"/>
  </r>
  <r>
    <x v="7"/>
    <s v="ORD008"/>
    <s v="Bidkin"/>
    <x v="3"/>
    <x v="3"/>
    <s v="Rahul"/>
    <n v="380"/>
    <n v="350"/>
    <n v="210000"/>
    <n v="165000"/>
    <n v="9"/>
    <n v="45000"/>
    <n v="30"/>
    <n v="2.368421052631579E-2"/>
    <n v="0.92105263157894735"/>
  </r>
  <r>
    <x v="8"/>
    <s v="ORD009"/>
    <s v="Waluj"/>
    <x v="0"/>
    <x v="1"/>
    <s v="Priya"/>
    <n v="420"/>
    <n v="390"/>
    <n v="273000"/>
    <n v="215000"/>
    <n v="6"/>
    <n v="58000"/>
    <n v="30"/>
    <n v="1.4285714285714285E-2"/>
    <n v="0.9285714285714286"/>
  </r>
  <r>
    <x v="9"/>
    <s v="ORD010"/>
    <s v="Bidkin"/>
    <x v="0"/>
    <x v="0"/>
    <s v="Amit"/>
    <n v="600"/>
    <n v="550"/>
    <n v="275000"/>
    <n v="215000"/>
    <n v="13"/>
    <n v="60000"/>
    <n v="50"/>
    <n v="2.1666666666666667E-2"/>
    <n v="0.91666666666666663"/>
  </r>
  <r>
    <x v="10"/>
    <s v="ORD011"/>
    <s v="Waluj"/>
    <x v="1"/>
    <x v="3"/>
    <s v="Priya"/>
    <n v="450"/>
    <n v="410"/>
    <n v="246000"/>
    <n v="190000"/>
    <n v="8"/>
    <n v="56000"/>
    <n v="40"/>
    <n v="1.7777777777777778E-2"/>
    <n v="0.91111111111111109"/>
  </r>
  <r>
    <x v="11"/>
    <s v="ORD012"/>
    <s v="Bidkin"/>
    <x v="2"/>
    <x v="2"/>
    <s v="Rahul"/>
    <n v="650"/>
    <n v="580"/>
    <n v="174000"/>
    <n v="135000"/>
    <n v="17"/>
    <n v="39000"/>
    <n v="70"/>
    <n v="2.6153846153846153E-2"/>
    <n v="0.89230769230769236"/>
  </r>
  <r>
    <x v="12"/>
    <s v="ORD013"/>
    <s v="Waluj"/>
    <x v="3"/>
    <x v="1"/>
    <s v="Amit"/>
    <n v="500"/>
    <n v="460"/>
    <n v="322000"/>
    <n v="250000"/>
    <n v="9"/>
    <n v="72000"/>
    <n v="40"/>
    <n v="1.7999999999999999E-2"/>
    <n v="0.92"/>
  </r>
  <r>
    <x v="13"/>
    <s v="ORD014"/>
    <s v="Bidkin"/>
    <x v="0"/>
    <x v="0"/>
    <s v="Priya"/>
    <n v="700"/>
    <n v="640"/>
    <n v="320000"/>
    <n v="250000"/>
    <n v="14"/>
    <n v="70000"/>
    <n v="60"/>
    <n v="0.02"/>
    <n v="0.91428571428571426"/>
  </r>
  <r>
    <x v="14"/>
    <s v="ORD015"/>
    <s v="Waluj"/>
    <x v="2"/>
    <x v="3"/>
    <s v="Rahul"/>
    <n v="400"/>
    <n v="360"/>
    <n v="216000"/>
    <n v="170000"/>
    <n v="6"/>
    <n v="46000"/>
    <n v="40"/>
    <n v="1.4999999999999999E-2"/>
    <n v="0.9"/>
  </r>
  <r>
    <x v="15"/>
    <s v="ORD016"/>
    <s v="Bidkin"/>
    <x v="1"/>
    <x v="1"/>
    <s v="Amit"/>
    <n v="550"/>
    <n v="510"/>
    <n v="357000"/>
    <n v="275000"/>
    <n v="12"/>
    <n v="82000"/>
    <n v="40"/>
    <n v="2.181818181818182E-2"/>
    <n v="0.92727272727272725"/>
  </r>
  <r>
    <x v="16"/>
    <s v="ORD017"/>
    <s v="Waluj"/>
    <x v="0"/>
    <x v="2"/>
    <s v="Priya"/>
    <n v="750"/>
    <n v="680"/>
    <n v="204000"/>
    <n v="158000"/>
    <n v="22"/>
    <n v="46000"/>
    <n v="70"/>
    <n v="2.9333333333333333E-2"/>
    <n v="0.90666666666666662"/>
  </r>
  <r>
    <x v="17"/>
    <s v="ORD018"/>
    <s v="Bidkin"/>
    <x v="3"/>
    <x v="0"/>
    <s v="Rahul"/>
    <n v="480"/>
    <n v="430"/>
    <n v="215000"/>
    <n v="168000"/>
    <n v="10"/>
    <n v="47000"/>
    <n v="50"/>
    <n v="2.0833333333333332E-2"/>
    <n v="0.89583333333333337"/>
  </r>
  <r>
    <x v="18"/>
    <s v="ORD019"/>
    <s v="Waluj"/>
    <x v="1"/>
    <x v="1"/>
    <s v="Amit"/>
    <n v="600"/>
    <n v="550"/>
    <n v="385000"/>
    <n v="295000"/>
    <n v="11"/>
    <n v="90000"/>
    <n v="50"/>
    <n v="1.8333333333333333E-2"/>
    <n v="0.91666666666666663"/>
  </r>
  <r>
    <x v="19"/>
    <s v="ORD020"/>
    <s v="Bidkin"/>
    <x v="2"/>
    <x v="3"/>
    <s v="Priya"/>
    <n v="420"/>
    <n v="380"/>
    <n v="228000"/>
    <n v="178000"/>
    <n v="7"/>
    <n v="50000"/>
    <n v="40"/>
    <n v="1.6666666666666666E-2"/>
    <n v="0.90476190476190477"/>
  </r>
  <r>
    <x v="20"/>
    <s v="ORD021"/>
    <s v="Waluj"/>
    <x v="0"/>
    <x v="0"/>
    <s v="Rahul"/>
    <n v="650"/>
    <n v="590"/>
    <n v="295000"/>
    <n v="230000"/>
    <n v="15"/>
    <n v="65000"/>
    <n v="60"/>
    <n v="2.3076923076923078E-2"/>
    <n v="0.90769230769230769"/>
  </r>
  <r>
    <x v="21"/>
    <s v="ORD022"/>
    <s v="Bidkin"/>
    <x v="1"/>
    <x v="2"/>
    <s v="Amit"/>
    <n v="800"/>
    <n v="720"/>
    <n v="216000"/>
    <n v="165000"/>
    <n v="24"/>
    <n v="51000"/>
    <n v="80"/>
    <n v="0.03"/>
    <n v="0.9"/>
  </r>
  <r>
    <x v="22"/>
    <s v="ORD023"/>
    <s v="Waluj"/>
    <x v="3"/>
    <x v="1"/>
    <s v="Priya"/>
    <n v="520"/>
    <n v="480"/>
    <n v="336000"/>
    <n v="260000"/>
    <n v="10"/>
    <n v="76000"/>
    <n v="40"/>
    <n v="1.9230769230769232E-2"/>
    <n v="0.92307692307692313"/>
  </r>
  <r>
    <x v="23"/>
    <s v="ORD024"/>
    <s v="Bidkin"/>
    <x v="0"/>
    <x v="3"/>
    <s v="Rahul"/>
    <n v="460"/>
    <n v="410"/>
    <n v="246000"/>
    <n v="190000"/>
    <n v="9"/>
    <n v="56000"/>
    <n v="50"/>
    <n v="1.9565217391304349E-2"/>
    <n v="0.89130434782608692"/>
  </r>
  <r>
    <x v="24"/>
    <s v="ORD025"/>
    <s v="Waluj"/>
    <x v="2"/>
    <x v="0"/>
    <s v="Amit"/>
    <n v="700"/>
    <n v="630"/>
    <n v="315000"/>
    <n v="245000"/>
    <n v="16"/>
    <n v="70000"/>
    <n v="70"/>
    <n v="2.2857142857142857E-2"/>
    <n v="0.9"/>
  </r>
  <r>
    <x v="25"/>
    <s v="ORD026"/>
    <s v="Bidkin"/>
    <x v="3"/>
    <x v="1"/>
    <s v="Priya"/>
    <n v="580"/>
    <n v="530"/>
    <n v="371000"/>
    <n v="285000"/>
    <n v="13"/>
    <n v="86000"/>
    <n v="50"/>
    <n v="2.2413793103448276E-2"/>
    <n v="0.91379310344827591"/>
  </r>
  <r>
    <x v="26"/>
    <s v="ORD027"/>
    <s v="Waluj"/>
    <x v="1"/>
    <x v="2"/>
    <s v="Rahul"/>
    <n v="720"/>
    <n v="650"/>
    <n v="195000"/>
    <n v="150000"/>
    <n v="19"/>
    <n v="45000"/>
    <n v="70"/>
    <n v="2.6388888888888889E-2"/>
    <n v="0.90277777777777779"/>
  </r>
  <r>
    <x v="27"/>
    <s v="ORD028"/>
    <s v="Bidkin"/>
    <x v="2"/>
    <x v="0"/>
    <s v="Amit"/>
    <n v="620"/>
    <n v="570"/>
    <n v="285000"/>
    <n v="222000"/>
    <n v="12"/>
    <n v="63000"/>
    <n v="50"/>
    <n v="1.935483870967742E-2"/>
    <n v="0.91935483870967738"/>
  </r>
  <r>
    <x v="28"/>
    <s v="ORD029"/>
    <s v="Waluj"/>
    <x v="0"/>
    <x v="3"/>
    <s v="Priya"/>
    <n v="500"/>
    <n v="450"/>
    <n v="270000"/>
    <n v="210000"/>
    <n v="8"/>
    <n v="60000"/>
    <n v="50"/>
    <n v="1.6E-2"/>
    <n v="0.9"/>
  </r>
  <r>
    <x v="29"/>
    <s v="ORD030"/>
    <s v="Bidkin"/>
    <x v="1"/>
    <x v="1"/>
    <s v="Rahul"/>
    <n v="680"/>
    <n v="620"/>
    <n v="434000"/>
    <n v="335000"/>
    <n v="14"/>
    <n v="99000"/>
    <n v="60"/>
    <n v="2.0588235294117647E-2"/>
    <n v="0.911764705882352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1-01T00:00:00"/>
    <s v="ORD001"/>
    <s v="Waluj"/>
    <s v="Aurangabad"/>
    <x v="0"/>
    <x v="0"/>
    <n v="500"/>
    <n v="450"/>
    <n v="225000"/>
    <n v="180000"/>
    <n v="12"/>
    <n v="45000"/>
    <n v="50"/>
    <n v="2.4E-2"/>
    <n v="0.9"/>
    <x v="0"/>
  </r>
  <r>
    <d v="2026-01-03T00:00:00"/>
    <s v="ORD002"/>
    <s v="Bidkin"/>
    <s v="Aurangabad"/>
    <x v="1"/>
    <x v="1"/>
    <n v="400"/>
    <n v="380"/>
    <n v="266000"/>
    <n v="210000"/>
    <n v="8"/>
    <n v="56000"/>
    <n v="20"/>
    <n v="0.02"/>
    <n v="0.95"/>
    <x v="0"/>
  </r>
  <r>
    <d v="2026-01-05T00:00:00"/>
    <s v="ORD003"/>
    <s v="Waluj"/>
    <s v="Pune"/>
    <x v="2"/>
    <x v="2"/>
    <n v="600"/>
    <n v="540"/>
    <n v="162000"/>
    <n v="125000"/>
    <n v="15"/>
    <n v="37000"/>
    <n v="60"/>
    <n v="2.5000000000000001E-2"/>
    <n v="0.9"/>
    <x v="0"/>
  </r>
  <r>
    <d v="2026-01-08T00:00:00"/>
    <s v="ORD004"/>
    <s v="Bidkin"/>
    <s v="Mumbai"/>
    <x v="1"/>
    <x v="0"/>
    <n v="450"/>
    <n v="420"/>
    <n v="294000"/>
    <n v="235000"/>
    <n v="10"/>
    <n v="59000"/>
    <n v="30"/>
    <n v="2.2222222222222223E-2"/>
    <n v="0.93333333333333335"/>
    <x v="0"/>
  </r>
  <r>
    <d v="2026-01-12T00:00:00"/>
    <s v="ORD005"/>
    <s v="Waluj"/>
    <s v="Nashik"/>
    <x v="3"/>
    <x v="1"/>
    <n v="350"/>
    <n v="300"/>
    <n v="180000"/>
    <n v="140000"/>
    <n v="7"/>
    <n v="40000"/>
    <n v="50"/>
    <n v="0.02"/>
    <n v="0.8571428571428571"/>
    <x v="0"/>
  </r>
  <r>
    <d v="2026-01-15T00:00:00"/>
    <s v="ORD006"/>
    <s v="Bidkin"/>
    <s v="Pune"/>
    <x v="0"/>
    <x v="2"/>
    <n v="550"/>
    <n v="500"/>
    <n v="250000"/>
    <n v="195000"/>
    <n v="11"/>
    <n v="55000"/>
    <n v="50"/>
    <n v="0.02"/>
    <n v="0.90909090909090906"/>
    <x v="0"/>
  </r>
  <r>
    <d v="2026-01-18T00:00:00"/>
    <s v="ORD007"/>
    <s v="Waluj"/>
    <s v="Mumbai"/>
    <x v="2"/>
    <x v="0"/>
    <n v="700"/>
    <n v="620"/>
    <n v="186000"/>
    <n v="145000"/>
    <n v="20"/>
    <n v="41000"/>
    <n v="80"/>
    <n v="2.8571428571428571E-2"/>
    <n v="0.88571428571428568"/>
    <x v="0"/>
  </r>
  <r>
    <d v="2026-01-22T00:00:00"/>
    <s v="ORD008"/>
    <s v="Bidkin"/>
    <s v="Nashik"/>
    <x v="3"/>
    <x v="1"/>
    <n v="380"/>
    <n v="350"/>
    <n v="210000"/>
    <n v="165000"/>
    <n v="9"/>
    <n v="45000"/>
    <n v="30"/>
    <n v="2.368421052631579E-2"/>
    <n v="0.92105263157894735"/>
    <x v="0"/>
  </r>
  <r>
    <d v="2026-01-25T00:00:00"/>
    <s v="ORD009"/>
    <s v="Waluj"/>
    <s v="Aurangabad"/>
    <x v="1"/>
    <x v="2"/>
    <n v="420"/>
    <n v="390"/>
    <n v="273000"/>
    <n v="215000"/>
    <n v="6"/>
    <n v="58000"/>
    <n v="30"/>
    <n v="1.4285714285714285E-2"/>
    <n v="0.9285714285714286"/>
    <x v="0"/>
  </r>
  <r>
    <d v="2026-01-28T00:00:00"/>
    <s v="ORD010"/>
    <s v="Bidkin"/>
    <s v="Aurangabad"/>
    <x v="0"/>
    <x v="0"/>
    <n v="600"/>
    <n v="550"/>
    <n v="275000"/>
    <n v="215000"/>
    <n v="13"/>
    <n v="60000"/>
    <n v="50"/>
    <n v="2.1666666666666667E-2"/>
    <n v="0.91666666666666663"/>
    <x v="0"/>
  </r>
  <r>
    <d v="2026-02-02T00:00:00"/>
    <s v="ORD011"/>
    <s v="Waluj"/>
    <s v="Pune"/>
    <x v="3"/>
    <x v="2"/>
    <n v="450"/>
    <n v="410"/>
    <n v="246000"/>
    <n v="190000"/>
    <n v="8"/>
    <n v="56000"/>
    <n v="40"/>
    <n v="1.7777777777777778E-2"/>
    <n v="0.91111111111111109"/>
    <x v="1"/>
  </r>
  <r>
    <d v="2026-02-05T00:00:00"/>
    <s v="ORD012"/>
    <s v="Bidkin"/>
    <s v="Mumbai"/>
    <x v="2"/>
    <x v="1"/>
    <n v="650"/>
    <n v="580"/>
    <n v="174000"/>
    <n v="135000"/>
    <n v="17"/>
    <n v="39000"/>
    <n v="70"/>
    <n v="2.6153846153846153E-2"/>
    <n v="0.89230769230769236"/>
    <x v="1"/>
  </r>
  <r>
    <d v="2026-02-08T00:00:00"/>
    <s v="ORD013"/>
    <s v="Waluj"/>
    <s v="Nashik"/>
    <x v="1"/>
    <x v="0"/>
    <n v="500"/>
    <n v="460"/>
    <n v="322000"/>
    <n v="250000"/>
    <n v="9"/>
    <n v="72000"/>
    <n v="40"/>
    <n v="1.7999999999999999E-2"/>
    <n v="0.92"/>
    <x v="1"/>
  </r>
  <r>
    <d v="2026-02-11T00:00:00"/>
    <s v="ORD014"/>
    <s v="Bidkin"/>
    <s v="Aurangabad"/>
    <x v="0"/>
    <x v="2"/>
    <n v="700"/>
    <n v="640"/>
    <n v="320000"/>
    <n v="250000"/>
    <n v="14"/>
    <n v="70000"/>
    <n v="60"/>
    <n v="0.02"/>
    <n v="0.91428571428571426"/>
    <x v="1"/>
  </r>
  <r>
    <d v="2026-02-14T00:00:00"/>
    <s v="ORD015"/>
    <s v="Waluj"/>
    <s v="Mumbai"/>
    <x v="3"/>
    <x v="1"/>
    <n v="400"/>
    <n v="360"/>
    <n v="216000"/>
    <n v="170000"/>
    <n v="6"/>
    <n v="46000"/>
    <n v="40"/>
    <n v="1.4999999999999999E-2"/>
    <n v="0.9"/>
    <x v="1"/>
  </r>
  <r>
    <d v="2026-02-18T00:00:00"/>
    <s v="ORD016"/>
    <s v="Bidkin"/>
    <s v="Pune"/>
    <x v="1"/>
    <x v="0"/>
    <n v="550"/>
    <n v="510"/>
    <n v="357000"/>
    <n v="275000"/>
    <n v="12"/>
    <n v="82000"/>
    <n v="40"/>
    <n v="2.181818181818182E-2"/>
    <n v="0.92727272727272725"/>
    <x v="1"/>
  </r>
  <r>
    <d v="2026-02-21T00:00:00"/>
    <s v="ORD017"/>
    <s v="Waluj"/>
    <s v="Aurangabad"/>
    <x v="2"/>
    <x v="2"/>
    <n v="750"/>
    <n v="680"/>
    <n v="204000"/>
    <n v="158000"/>
    <n v="22"/>
    <n v="46000"/>
    <n v="70"/>
    <n v="2.9333333333333333E-2"/>
    <n v="0.90666666666666662"/>
    <x v="1"/>
  </r>
  <r>
    <d v="2026-02-24T00:00:00"/>
    <s v="ORD018"/>
    <s v="Bidkin"/>
    <s v="Nashik"/>
    <x v="0"/>
    <x v="1"/>
    <n v="480"/>
    <n v="430"/>
    <n v="215000"/>
    <n v="168000"/>
    <n v="10"/>
    <n v="47000"/>
    <n v="50"/>
    <n v="2.0833333333333332E-2"/>
    <n v="0.89583333333333337"/>
    <x v="1"/>
  </r>
  <r>
    <d v="2026-02-27T00:00:00"/>
    <s v="ORD019"/>
    <s v="Waluj"/>
    <s v="Pune"/>
    <x v="1"/>
    <x v="0"/>
    <n v="600"/>
    <n v="550"/>
    <n v="385000"/>
    <n v="295000"/>
    <n v="11"/>
    <n v="90000"/>
    <n v="50"/>
    <n v="1.8333333333333333E-2"/>
    <n v="0.91666666666666663"/>
    <x v="1"/>
  </r>
  <r>
    <d v="2026-03-02T00:00:00"/>
    <s v="ORD020"/>
    <s v="Bidkin"/>
    <s v="Mumbai"/>
    <x v="3"/>
    <x v="2"/>
    <n v="420"/>
    <n v="380"/>
    <n v="228000"/>
    <n v="178000"/>
    <n v="7"/>
    <n v="50000"/>
    <n v="40"/>
    <n v="1.6666666666666666E-2"/>
    <n v="0.90476190476190477"/>
    <x v="2"/>
  </r>
  <r>
    <d v="2026-03-05T00:00:00"/>
    <s v="ORD021"/>
    <s v="Waluj"/>
    <s v="Aurangabad"/>
    <x v="0"/>
    <x v="1"/>
    <n v="650"/>
    <n v="590"/>
    <n v="295000"/>
    <n v="230000"/>
    <n v="15"/>
    <n v="65000"/>
    <n v="60"/>
    <n v="2.3076923076923078E-2"/>
    <n v="0.90769230769230769"/>
    <x v="2"/>
  </r>
  <r>
    <d v="2026-03-08T00:00:00"/>
    <s v="ORD022"/>
    <s v="Bidkin"/>
    <s v="Pune"/>
    <x v="2"/>
    <x v="0"/>
    <n v="800"/>
    <n v="720"/>
    <n v="216000"/>
    <n v="165000"/>
    <n v="24"/>
    <n v="51000"/>
    <n v="80"/>
    <n v="0.03"/>
    <n v="0.9"/>
    <x v="2"/>
  </r>
  <r>
    <d v="2026-03-11T00:00:00"/>
    <s v="ORD023"/>
    <s v="Waluj"/>
    <s v="Nashik"/>
    <x v="1"/>
    <x v="2"/>
    <n v="520"/>
    <n v="480"/>
    <n v="336000"/>
    <n v="260000"/>
    <n v="10"/>
    <n v="76000"/>
    <n v="40"/>
    <n v="1.9230769230769232E-2"/>
    <n v="0.92307692307692313"/>
    <x v="2"/>
  </r>
  <r>
    <d v="2026-03-14T00:00:00"/>
    <s v="ORD024"/>
    <s v="Bidkin"/>
    <s v="Aurangabad"/>
    <x v="3"/>
    <x v="1"/>
    <n v="460"/>
    <n v="410"/>
    <n v="246000"/>
    <n v="190000"/>
    <n v="9"/>
    <n v="56000"/>
    <n v="50"/>
    <n v="1.9565217391304349E-2"/>
    <n v="0.89130434782608692"/>
    <x v="2"/>
  </r>
  <r>
    <d v="2026-03-17T00:00:00"/>
    <s v="ORD025"/>
    <s v="Waluj"/>
    <s v="Mumbai"/>
    <x v="0"/>
    <x v="0"/>
    <n v="700"/>
    <n v="630"/>
    <n v="315000"/>
    <n v="245000"/>
    <n v="16"/>
    <n v="70000"/>
    <n v="70"/>
    <n v="2.2857142857142857E-2"/>
    <n v="0.9"/>
    <x v="2"/>
  </r>
  <r>
    <d v="2026-03-20T00:00:00"/>
    <s v="ORD026"/>
    <s v="Bidkin"/>
    <s v="Nashik"/>
    <x v="1"/>
    <x v="2"/>
    <n v="580"/>
    <n v="530"/>
    <n v="371000"/>
    <n v="285000"/>
    <n v="13"/>
    <n v="86000"/>
    <n v="50"/>
    <n v="2.2413793103448276E-2"/>
    <n v="0.91379310344827591"/>
    <x v="2"/>
  </r>
  <r>
    <d v="2026-03-23T00:00:00"/>
    <s v="ORD027"/>
    <s v="Waluj"/>
    <s v="Pune"/>
    <x v="2"/>
    <x v="1"/>
    <n v="720"/>
    <n v="650"/>
    <n v="195000"/>
    <n v="150000"/>
    <n v="19"/>
    <n v="45000"/>
    <n v="70"/>
    <n v="2.6388888888888889E-2"/>
    <n v="0.90277777777777779"/>
    <x v="2"/>
  </r>
  <r>
    <d v="2026-03-26T00:00:00"/>
    <s v="ORD028"/>
    <s v="Bidkin"/>
    <s v="Mumbai"/>
    <x v="0"/>
    <x v="0"/>
    <n v="620"/>
    <n v="570"/>
    <n v="285000"/>
    <n v="222000"/>
    <n v="12"/>
    <n v="63000"/>
    <n v="50"/>
    <n v="1.935483870967742E-2"/>
    <n v="0.91935483870967738"/>
    <x v="2"/>
  </r>
  <r>
    <d v="2026-03-29T00:00:00"/>
    <s v="ORD029"/>
    <s v="Waluj"/>
    <s v="Aurangabad"/>
    <x v="3"/>
    <x v="2"/>
    <n v="500"/>
    <n v="450"/>
    <n v="270000"/>
    <n v="210000"/>
    <n v="8"/>
    <n v="60000"/>
    <n v="50"/>
    <n v="1.6E-2"/>
    <n v="0.9"/>
    <x v="2"/>
  </r>
  <r>
    <d v="2026-03-31T00:00:00"/>
    <s v="ORD030"/>
    <s v="Bidkin"/>
    <s v="Pune"/>
    <x v="1"/>
    <x v="1"/>
    <n v="680"/>
    <n v="620"/>
    <n v="434000"/>
    <n v="335000"/>
    <n v="14"/>
    <n v="99000"/>
    <n v="60"/>
    <n v="2.0588235294117647E-2"/>
    <n v="0.9117647058823529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F143D-812D-4339-BD46-ABF836CB4BAE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8" firstHeaderRow="0" firstDataRow="1" firstDataCol="1"/>
  <pivotFields count="15">
    <pivotField compact="0" numFmtId="15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4FFBE-6356-42B5-8886-6708E63D842B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8" firstHeaderRow="0" firstDataRow="1" firstDataCol="1"/>
  <pivotFields count="15">
    <pivotField compact="0" numFmtId="15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FB4C1-D7B4-45E7-90FE-0D223D4467B7}" name="PivotTable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6"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BBD5D-66FF-4F01-A896-B828833E9CE6}" name="PivotTable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6"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63F25-4699-4AF7-97E7-EBAC76104AB1}" name="PivotTable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6">
    <pivotField compact="0" numFmtId="15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9" outline="0" showAll="0"/>
    <pivotField compact="0" numFmtId="9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fect Rate" fld="13" subtotal="average" baseField="0" baseItem="0" numFmtId="9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272B-9AC3-46E8-ABBE-0D304D10B088}">
  <dimension ref="A3:C8"/>
  <sheetViews>
    <sheetView workbookViewId="0">
      <selection activeCell="I2" sqref="I2"/>
    </sheetView>
  </sheetViews>
  <sheetFormatPr defaultRowHeight="15"/>
  <cols>
    <col min="1" max="1" width="11.7109375" bestFit="1" customWidth="1"/>
    <col min="2" max="2" width="12.42578125" bestFit="1" customWidth="1"/>
    <col min="3" max="3" width="12.85546875" bestFit="1" customWidth="1"/>
  </cols>
  <sheetData>
    <row r="3" spans="1:3">
      <c r="A3" s="7" t="s">
        <v>0</v>
      </c>
      <c r="B3" t="s">
        <v>1</v>
      </c>
      <c r="C3" t="s">
        <v>2</v>
      </c>
    </row>
    <row r="4" spans="1:3">
      <c r="A4" t="s">
        <v>3</v>
      </c>
      <c r="B4" s="6">
        <v>2180000</v>
      </c>
      <c r="C4" s="6">
        <v>475000</v>
      </c>
    </row>
    <row r="5" spans="1:3">
      <c r="A5" t="s">
        <v>4</v>
      </c>
      <c r="B5" s="6">
        <v>1137000</v>
      </c>
      <c r="C5" s="6">
        <v>259000</v>
      </c>
    </row>
    <row r="6" spans="1:3">
      <c r="A6" t="s">
        <v>5</v>
      </c>
      <c r="B6" s="6">
        <v>1596000</v>
      </c>
      <c r="C6" s="6">
        <v>353000</v>
      </c>
    </row>
    <row r="7" spans="1:3">
      <c r="A7" t="s">
        <v>6</v>
      </c>
      <c r="B7" s="6">
        <v>3038000</v>
      </c>
      <c r="C7" s="6">
        <v>678000</v>
      </c>
    </row>
    <row r="8" spans="1:3">
      <c r="A8" t="s">
        <v>7</v>
      </c>
      <c r="B8" s="6">
        <v>7951000</v>
      </c>
      <c r="C8" s="6">
        <v>1765000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5A29-3E27-430A-B9B1-6F2EF946AAF8}">
  <dimension ref="A3:C8"/>
  <sheetViews>
    <sheetView workbookViewId="0">
      <selection activeCell="A3" sqref="A3:B7"/>
    </sheetView>
  </sheetViews>
  <sheetFormatPr defaultRowHeight="15"/>
  <cols>
    <col min="1" max="1" width="11.7109375" bestFit="1" customWidth="1"/>
    <col min="2" max="2" width="12.42578125" bestFit="1" customWidth="1"/>
    <col min="3" max="3" width="12.85546875" bestFit="1" customWidth="1"/>
  </cols>
  <sheetData>
    <row r="3" spans="1:3">
      <c r="A3" s="7" t="s">
        <v>8</v>
      </c>
      <c r="B3" t="s">
        <v>1</v>
      </c>
      <c r="C3" t="s">
        <v>2</v>
      </c>
    </row>
    <row r="4" spans="1:3">
      <c r="A4" t="s">
        <v>9</v>
      </c>
      <c r="B4" s="6">
        <v>2374000</v>
      </c>
      <c r="C4" s="6">
        <v>516000</v>
      </c>
    </row>
    <row r="5" spans="1:3">
      <c r="A5" t="s">
        <v>10</v>
      </c>
      <c r="B5" s="6">
        <v>1698000</v>
      </c>
      <c r="C5" s="6">
        <v>368000</v>
      </c>
    </row>
    <row r="6" spans="1:3">
      <c r="A6" t="s">
        <v>11</v>
      </c>
      <c r="B6" s="6">
        <v>1634000</v>
      </c>
      <c r="C6" s="6">
        <v>366000</v>
      </c>
    </row>
    <row r="7" spans="1:3">
      <c r="A7" t="s">
        <v>12</v>
      </c>
      <c r="B7" s="6">
        <v>2245000</v>
      </c>
      <c r="C7" s="6">
        <v>515000</v>
      </c>
    </row>
    <row r="8" spans="1:3">
      <c r="A8" t="s">
        <v>7</v>
      </c>
      <c r="B8" s="6">
        <v>7951000</v>
      </c>
      <c r="C8" s="6">
        <v>1765000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1AB2-08A2-42AD-86EC-2A6B119F7713}">
  <dimension ref="A3:B7"/>
  <sheetViews>
    <sheetView workbookViewId="0">
      <selection activeCell="J20" sqref="J20"/>
    </sheetView>
  </sheetViews>
  <sheetFormatPr defaultRowHeight="15"/>
  <cols>
    <col min="1" max="1" width="11.7109375" bestFit="1" customWidth="1"/>
    <col min="2" max="2" width="12.42578125" bestFit="1" customWidth="1"/>
  </cols>
  <sheetData>
    <row r="3" spans="1:2">
      <c r="A3" s="7" t="s">
        <v>13</v>
      </c>
      <c r="B3" t="s">
        <v>1</v>
      </c>
    </row>
    <row r="4" spans="1:2">
      <c r="A4" t="s">
        <v>14</v>
      </c>
      <c r="B4" s="6">
        <v>2321000</v>
      </c>
    </row>
    <row r="5" spans="1:2">
      <c r="A5" t="s">
        <v>15</v>
      </c>
      <c r="B5" s="6">
        <v>2439000</v>
      </c>
    </row>
    <row r="6" spans="1:2">
      <c r="A6" t="s">
        <v>16</v>
      </c>
      <c r="B6" s="6">
        <v>3191000</v>
      </c>
    </row>
    <row r="7" spans="1:2">
      <c r="A7" t="s">
        <v>7</v>
      </c>
      <c r="B7" s="6">
        <v>7951000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ECE8-33BD-4CC9-B7C8-6581B447A1DC}">
  <dimension ref="A3:B7"/>
  <sheetViews>
    <sheetView workbookViewId="0">
      <selection activeCell="A4" sqref="A4:B6"/>
    </sheetView>
  </sheetViews>
  <sheetFormatPr defaultRowHeight="15"/>
  <cols>
    <col min="1" max="1" width="15" bestFit="1" customWidth="1"/>
    <col min="2" max="2" width="12.85546875" bestFit="1" customWidth="1"/>
  </cols>
  <sheetData>
    <row r="3" spans="1:2">
      <c r="A3" s="7" t="s">
        <v>17</v>
      </c>
      <c r="B3" t="s">
        <v>2</v>
      </c>
    </row>
    <row r="4" spans="1:2">
      <c r="A4" t="s">
        <v>18</v>
      </c>
      <c r="B4" s="6">
        <v>633000</v>
      </c>
    </row>
    <row r="5" spans="1:2">
      <c r="A5" t="s">
        <v>19</v>
      </c>
      <c r="B5" s="6">
        <v>594000</v>
      </c>
    </row>
    <row r="6" spans="1:2">
      <c r="A6" t="s">
        <v>20</v>
      </c>
      <c r="B6" s="6">
        <v>538000</v>
      </c>
    </row>
    <row r="7" spans="1:2">
      <c r="A7" t="s">
        <v>7</v>
      </c>
      <c r="B7" s="6">
        <v>1765000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432C-BE54-441F-9C57-ABC7D4EFD321}">
  <dimension ref="A3:B8"/>
  <sheetViews>
    <sheetView workbookViewId="0">
      <selection activeCell="A3" sqref="A3:B7"/>
    </sheetView>
  </sheetViews>
  <sheetFormatPr defaultRowHeight="15"/>
  <cols>
    <col min="1" max="1" width="11.7109375" bestFit="1" customWidth="1"/>
    <col min="2" max="2" width="22.140625" bestFit="1" customWidth="1"/>
  </cols>
  <sheetData>
    <row r="3" spans="1:2">
      <c r="A3" s="7" t="s">
        <v>0</v>
      </c>
      <c r="B3" t="s">
        <v>21</v>
      </c>
    </row>
    <row r="4" spans="1:2">
      <c r="A4" t="s">
        <v>3</v>
      </c>
      <c r="B4" s="4">
        <v>2.147361308046792E-2</v>
      </c>
    </row>
    <row r="5" spans="1:2">
      <c r="A5" t="s">
        <v>4</v>
      </c>
      <c r="B5" s="4">
        <v>2.7574582824582822E-2</v>
      </c>
    </row>
    <row r="6" spans="1:2">
      <c r="A6" t="s">
        <v>5</v>
      </c>
      <c r="B6" s="4">
        <v>1.8384838908866368E-2</v>
      </c>
    </row>
    <row r="7" spans="1:2">
      <c r="A7" t="s">
        <v>6</v>
      </c>
      <c r="B7" s="4">
        <v>1.9654694365309647E-2</v>
      </c>
    </row>
    <row r="8" spans="1:2">
      <c r="A8" t="s">
        <v>7</v>
      </c>
      <c r="B8" s="4">
        <v>2.142741744136973E-2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>
      <selection activeCell="G10" sqref="G10"/>
    </sheetView>
  </sheetViews>
  <sheetFormatPr defaultRowHeight="15"/>
  <cols>
    <col min="1" max="1" width="10.42578125" bestFit="1" customWidth="1"/>
    <col min="2" max="2" width="9.28515625" bestFit="1" customWidth="1"/>
    <col min="3" max="3" width="6.5703125" bestFit="1" customWidth="1"/>
    <col min="4" max="4" width="11.7109375" bestFit="1" customWidth="1"/>
    <col min="5" max="5" width="11.5703125" bestFit="1" customWidth="1"/>
    <col min="6" max="6" width="11.85546875" bestFit="1" customWidth="1"/>
    <col min="7" max="7" width="15.5703125" bestFit="1" customWidth="1"/>
    <col min="8" max="8" width="10.7109375" bestFit="1" customWidth="1"/>
    <col min="9" max="10" width="7.7109375" bestFit="1" customWidth="1"/>
    <col min="11" max="11" width="7.85546875" bestFit="1" customWidth="1"/>
    <col min="13" max="13" width="11.5703125" customWidth="1"/>
    <col min="14" max="14" width="11.42578125" customWidth="1"/>
    <col min="15" max="15" width="15.85546875" customWidth="1"/>
  </cols>
  <sheetData>
    <row r="1" spans="1:16">
      <c r="A1" s="3" t="s">
        <v>22</v>
      </c>
      <c r="B1" s="3" t="s">
        <v>23</v>
      </c>
      <c r="C1" s="3" t="s">
        <v>24</v>
      </c>
      <c r="D1" s="3" t="s">
        <v>8</v>
      </c>
      <c r="E1" s="3" t="s">
        <v>0</v>
      </c>
      <c r="F1" s="3" t="s">
        <v>17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13</v>
      </c>
    </row>
    <row r="2" spans="1:16">
      <c r="A2" s="1">
        <v>46023</v>
      </c>
      <c r="B2" s="2" t="s">
        <v>34</v>
      </c>
      <c r="C2" s="2" t="s">
        <v>35</v>
      </c>
      <c r="D2" s="2" t="s">
        <v>9</v>
      </c>
      <c r="E2" s="2" t="s">
        <v>3</v>
      </c>
      <c r="F2" s="2" t="s">
        <v>18</v>
      </c>
      <c r="G2" s="2">
        <v>500</v>
      </c>
      <c r="H2" s="2">
        <v>450</v>
      </c>
      <c r="I2" s="2">
        <v>225000</v>
      </c>
      <c r="J2" s="2">
        <v>180000</v>
      </c>
      <c r="K2" s="2">
        <v>12</v>
      </c>
      <c r="L2" s="2">
        <f>I2-J2</f>
        <v>45000</v>
      </c>
      <c r="M2" s="2">
        <f>G2-H2</f>
        <v>50</v>
      </c>
      <c r="N2" s="5">
        <f>K2/G2</f>
        <v>2.4E-2</v>
      </c>
      <c r="O2" s="5">
        <f>H2/G2</f>
        <v>0.9</v>
      </c>
      <c r="P2" s="5" t="str">
        <f>TEXT(A2,"mmm")</f>
        <v>Jan</v>
      </c>
    </row>
    <row r="3" spans="1:16">
      <c r="A3" s="1">
        <v>46025</v>
      </c>
      <c r="B3" s="2" t="s">
        <v>36</v>
      </c>
      <c r="C3" s="2" t="s">
        <v>37</v>
      </c>
      <c r="D3" s="2" t="s">
        <v>9</v>
      </c>
      <c r="E3" s="2" t="s">
        <v>6</v>
      </c>
      <c r="F3" s="2" t="s">
        <v>20</v>
      </c>
      <c r="G3" s="2">
        <v>400</v>
      </c>
      <c r="H3" s="2">
        <v>380</v>
      </c>
      <c r="I3" s="2">
        <v>266000</v>
      </c>
      <c r="J3" s="2">
        <v>210000</v>
      </c>
      <c r="K3" s="2">
        <v>8</v>
      </c>
      <c r="L3" s="2">
        <f t="shared" ref="L3:L31" si="0">I3-J3</f>
        <v>56000</v>
      </c>
      <c r="M3" s="2">
        <f t="shared" ref="M3:M31" si="1">G3-H3</f>
        <v>20</v>
      </c>
      <c r="N3" s="5">
        <f t="shared" ref="N3:N31" si="2">K3/G3</f>
        <v>0.02</v>
      </c>
      <c r="O3" s="5">
        <f t="shared" ref="O3:O31" si="3">H3/G3</f>
        <v>0.95</v>
      </c>
      <c r="P3" s="5" t="str">
        <f t="shared" ref="P3:P31" si="4">TEXT(A3,"mmm")</f>
        <v>Jan</v>
      </c>
    </row>
    <row r="4" spans="1:16">
      <c r="A4" s="1">
        <v>46027</v>
      </c>
      <c r="B4" s="2" t="s">
        <v>38</v>
      </c>
      <c r="C4" s="2" t="s">
        <v>35</v>
      </c>
      <c r="D4" s="2" t="s">
        <v>12</v>
      </c>
      <c r="E4" s="2" t="s">
        <v>4</v>
      </c>
      <c r="F4" s="2" t="s">
        <v>19</v>
      </c>
      <c r="G4" s="2">
        <v>600</v>
      </c>
      <c r="H4" s="2">
        <v>540</v>
      </c>
      <c r="I4" s="2">
        <v>162000</v>
      </c>
      <c r="J4" s="2">
        <v>125000</v>
      </c>
      <c r="K4" s="2">
        <v>15</v>
      </c>
      <c r="L4" s="2">
        <f t="shared" si="0"/>
        <v>37000</v>
      </c>
      <c r="M4" s="2">
        <f t="shared" si="1"/>
        <v>60</v>
      </c>
      <c r="N4" s="5">
        <f t="shared" si="2"/>
        <v>2.5000000000000001E-2</v>
      </c>
      <c r="O4" s="5">
        <f t="shared" si="3"/>
        <v>0.9</v>
      </c>
      <c r="P4" s="5" t="str">
        <f t="shared" si="4"/>
        <v>Jan</v>
      </c>
    </row>
    <row r="5" spans="1:16">
      <c r="A5" s="1">
        <v>46030</v>
      </c>
      <c r="B5" s="2" t="s">
        <v>39</v>
      </c>
      <c r="C5" s="2" t="s">
        <v>37</v>
      </c>
      <c r="D5" s="2" t="s">
        <v>10</v>
      </c>
      <c r="E5" s="2" t="s">
        <v>6</v>
      </c>
      <c r="F5" s="2" t="s">
        <v>18</v>
      </c>
      <c r="G5" s="2">
        <v>450</v>
      </c>
      <c r="H5" s="2">
        <v>420</v>
      </c>
      <c r="I5" s="2">
        <v>294000</v>
      </c>
      <c r="J5" s="2">
        <v>235000</v>
      </c>
      <c r="K5" s="2">
        <v>10</v>
      </c>
      <c r="L5" s="2">
        <f t="shared" si="0"/>
        <v>59000</v>
      </c>
      <c r="M5" s="2">
        <f t="shared" si="1"/>
        <v>30</v>
      </c>
      <c r="N5" s="5">
        <f t="shared" si="2"/>
        <v>2.2222222222222223E-2</v>
      </c>
      <c r="O5" s="5">
        <f t="shared" si="3"/>
        <v>0.93333333333333335</v>
      </c>
      <c r="P5" s="5" t="str">
        <f t="shared" si="4"/>
        <v>Jan</v>
      </c>
    </row>
    <row r="6" spans="1:16">
      <c r="A6" s="1">
        <v>46034</v>
      </c>
      <c r="B6" s="2" t="s">
        <v>40</v>
      </c>
      <c r="C6" s="2" t="s">
        <v>35</v>
      </c>
      <c r="D6" s="2" t="s">
        <v>11</v>
      </c>
      <c r="E6" s="2" t="s">
        <v>5</v>
      </c>
      <c r="F6" s="2" t="s">
        <v>20</v>
      </c>
      <c r="G6" s="2">
        <v>350</v>
      </c>
      <c r="H6" s="2">
        <v>300</v>
      </c>
      <c r="I6" s="2">
        <v>180000</v>
      </c>
      <c r="J6" s="2">
        <v>140000</v>
      </c>
      <c r="K6" s="2">
        <v>7</v>
      </c>
      <c r="L6" s="2">
        <f t="shared" si="0"/>
        <v>40000</v>
      </c>
      <c r="M6" s="2">
        <f t="shared" si="1"/>
        <v>50</v>
      </c>
      <c r="N6" s="5">
        <f t="shared" si="2"/>
        <v>0.02</v>
      </c>
      <c r="O6" s="5">
        <f t="shared" si="3"/>
        <v>0.8571428571428571</v>
      </c>
      <c r="P6" s="5" t="str">
        <f t="shared" si="4"/>
        <v>Jan</v>
      </c>
    </row>
    <row r="7" spans="1:16">
      <c r="A7" s="1">
        <v>46037</v>
      </c>
      <c r="B7" s="2" t="s">
        <v>41</v>
      </c>
      <c r="C7" s="2" t="s">
        <v>37</v>
      </c>
      <c r="D7" s="2" t="s">
        <v>12</v>
      </c>
      <c r="E7" s="2" t="s">
        <v>3</v>
      </c>
      <c r="F7" s="2" t="s">
        <v>19</v>
      </c>
      <c r="G7" s="2">
        <v>550</v>
      </c>
      <c r="H7" s="2">
        <v>500</v>
      </c>
      <c r="I7" s="2">
        <v>250000</v>
      </c>
      <c r="J7" s="2">
        <v>195000</v>
      </c>
      <c r="K7" s="2">
        <v>11</v>
      </c>
      <c r="L7" s="2">
        <f t="shared" si="0"/>
        <v>55000</v>
      </c>
      <c r="M7" s="2">
        <f t="shared" si="1"/>
        <v>50</v>
      </c>
      <c r="N7" s="5">
        <f t="shared" si="2"/>
        <v>0.02</v>
      </c>
      <c r="O7" s="5">
        <f t="shared" si="3"/>
        <v>0.90909090909090906</v>
      </c>
      <c r="P7" s="5" t="str">
        <f t="shared" si="4"/>
        <v>Jan</v>
      </c>
    </row>
    <row r="8" spans="1:16">
      <c r="A8" s="1">
        <v>46040</v>
      </c>
      <c r="B8" s="2" t="s">
        <v>42</v>
      </c>
      <c r="C8" s="2" t="s">
        <v>35</v>
      </c>
      <c r="D8" s="2" t="s">
        <v>10</v>
      </c>
      <c r="E8" s="2" t="s">
        <v>4</v>
      </c>
      <c r="F8" s="2" t="s">
        <v>18</v>
      </c>
      <c r="G8" s="2">
        <v>700</v>
      </c>
      <c r="H8" s="2">
        <v>620</v>
      </c>
      <c r="I8" s="2">
        <v>186000</v>
      </c>
      <c r="J8" s="2">
        <v>145000</v>
      </c>
      <c r="K8" s="2">
        <v>20</v>
      </c>
      <c r="L8" s="2">
        <f t="shared" si="0"/>
        <v>41000</v>
      </c>
      <c r="M8" s="2">
        <f t="shared" si="1"/>
        <v>80</v>
      </c>
      <c r="N8" s="5">
        <f t="shared" si="2"/>
        <v>2.8571428571428571E-2</v>
      </c>
      <c r="O8" s="5">
        <f t="shared" si="3"/>
        <v>0.88571428571428568</v>
      </c>
      <c r="P8" s="5" t="str">
        <f t="shared" si="4"/>
        <v>Jan</v>
      </c>
    </row>
    <row r="9" spans="1:16">
      <c r="A9" s="1">
        <v>46044</v>
      </c>
      <c r="B9" s="2" t="s">
        <v>43</v>
      </c>
      <c r="C9" s="2" t="s">
        <v>37</v>
      </c>
      <c r="D9" s="2" t="s">
        <v>11</v>
      </c>
      <c r="E9" s="2" t="s">
        <v>5</v>
      </c>
      <c r="F9" s="2" t="s">
        <v>20</v>
      </c>
      <c r="G9" s="2">
        <v>380</v>
      </c>
      <c r="H9" s="2">
        <v>350</v>
      </c>
      <c r="I9" s="2">
        <v>210000</v>
      </c>
      <c r="J9" s="2">
        <v>165000</v>
      </c>
      <c r="K9" s="2">
        <v>9</v>
      </c>
      <c r="L9" s="2">
        <f t="shared" si="0"/>
        <v>45000</v>
      </c>
      <c r="M9" s="2">
        <f t="shared" si="1"/>
        <v>30</v>
      </c>
      <c r="N9" s="5">
        <f t="shared" si="2"/>
        <v>2.368421052631579E-2</v>
      </c>
      <c r="O9" s="5">
        <f t="shared" si="3"/>
        <v>0.92105263157894735</v>
      </c>
      <c r="P9" s="5" t="str">
        <f t="shared" si="4"/>
        <v>Jan</v>
      </c>
    </row>
    <row r="10" spans="1:16">
      <c r="A10" s="1">
        <v>46047</v>
      </c>
      <c r="B10" s="2" t="s">
        <v>44</v>
      </c>
      <c r="C10" s="2" t="s">
        <v>35</v>
      </c>
      <c r="D10" s="2" t="s">
        <v>9</v>
      </c>
      <c r="E10" s="2" t="s">
        <v>6</v>
      </c>
      <c r="F10" s="2" t="s">
        <v>19</v>
      </c>
      <c r="G10" s="2">
        <v>420</v>
      </c>
      <c r="H10" s="2">
        <v>390</v>
      </c>
      <c r="I10" s="2">
        <v>273000</v>
      </c>
      <c r="J10" s="2">
        <v>215000</v>
      </c>
      <c r="K10" s="2">
        <v>6</v>
      </c>
      <c r="L10" s="2">
        <f t="shared" si="0"/>
        <v>58000</v>
      </c>
      <c r="M10" s="2">
        <f t="shared" si="1"/>
        <v>30</v>
      </c>
      <c r="N10" s="5">
        <f t="shared" si="2"/>
        <v>1.4285714285714285E-2</v>
      </c>
      <c r="O10" s="5">
        <f t="shared" si="3"/>
        <v>0.9285714285714286</v>
      </c>
      <c r="P10" s="5" t="str">
        <f t="shared" si="4"/>
        <v>Jan</v>
      </c>
    </row>
    <row r="11" spans="1:16">
      <c r="A11" s="1">
        <v>46050</v>
      </c>
      <c r="B11" s="2" t="s">
        <v>45</v>
      </c>
      <c r="C11" s="2" t="s">
        <v>37</v>
      </c>
      <c r="D11" s="2" t="s">
        <v>9</v>
      </c>
      <c r="E11" s="2" t="s">
        <v>3</v>
      </c>
      <c r="F11" s="2" t="s">
        <v>18</v>
      </c>
      <c r="G11" s="2">
        <v>600</v>
      </c>
      <c r="H11" s="2">
        <v>550</v>
      </c>
      <c r="I11" s="2">
        <v>275000</v>
      </c>
      <c r="J11" s="2">
        <v>215000</v>
      </c>
      <c r="K11" s="2">
        <v>13</v>
      </c>
      <c r="L11" s="2">
        <f t="shared" si="0"/>
        <v>60000</v>
      </c>
      <c r="M11" s="2">
        <f t="shared" si="1"/>
        <v>50</v>
      </c>
      <c r="N11" s="5">
        <f t="shared" si="2"/>
        <v>2.1666666666666667E-2</v>
      </c>
      <c r="O11" s="5">
        <f t="shared" si="3"/>
        <v>0.91666666666666663</v>
      </c>
      <c r="P11" s="5" t="str">
        <f t="shared" si="4"/>
        <v>Jan</v>
      </c>
    </row>
    <row r="12" spans="1:16">
      <c r="A12" s="1">
        <v>46055</v>
      </c>
      <c r="B12" s="2" t="s">
        <v>46</v>
      </c>
      <c r="C12" s="2" t="s">
        <v>35</v>
      </c>
      <c r="D12" s="2" t="s">
        <v>12</v>
      </c>
      <c r="E12" s="2" t="s">
        <v>5</v>
      </c>
      <c r="F12" s="2" t="s">
        <v>19</v>
      </c>
      <c r="G12" s="2">
        <v>450</v>
      </c>
      <c r="H12" s="2">
        <v>410</v>
      </c>
      <c r="I12" s="2">
        <v>246000</v>
      </c>
      <c r="J12" s="2">
        <v>190000</v>
      </c>
      <c r="K12" s="2">
        <v>8</v>
      </c>
      <c r="L12" s="2">
        <f t="shared" si="0"/>
        <v>56000</v>
      </c>
      <c r="M12" s="2">
        <f t="shared" si="1"/>
        <v>40</v>
      </c>
      <c r="N12" s="5">
        <f t="shared" si="2"/>
        <v>1.7777777777777778E-2</v>
      </c>
      <c r="O12" s="5">
        <f t="shared" si="3"/>
        <v>0.91111111111111109</v>
      </c>
      <c r="P12" s="5" t="str">
        <f t="shared" si="4"/>
        <v>Feb</v>
      </c>
    </row>
    <row r="13" spans="1:16">
      <c r="A13" s="1">
        <v>46058</v>
      </c>
      <c r="B13" s="2" t="s">
        <v>47</v>
      </c>
      <c r="C13" s="2" t="s">
        <v>37</v>
      </c>
      <c r="D13" s="2" t="s">
        <v>10</v>
      </c>
      <c r="E13" s="2" t="s">
        <v>4</v>
      </c>
      <c r="F13" s="2" t="s">
        <v>20</v>
      </c>
      <c r="G13" s="2">
        <v>650</v>
      </c>
      <c r="H13" s="2">
        <v>580</v>
      </c>
      <c r="I13" s="2">
        <v>174000</v>
      </c>
      <c r="J13" s="2">
        <v>135000</v>
      </c>
      <c r="K13" s="2">
        <v>17</v>
      </c>
      <c r="L13" s="2">
        <f t="shared" si="0"/>
        <v>39000</v>
      </c>
      <c r="M13" s="2">
        <f t="shared" si="1"/>
        <v>70</v>
      </c>
      <c r="N13" s="5">
        <f t="shared" si="2"/>
        <v>2.6153846153846153E-2</v>
      </c>
      <c r="O13" s="5">
        <f t="shared" si="3"/>
        <v>0.89230769230769236</v>
      </c>
      <c r="P13" s="5" t="str">
        <f t="shared" si="4"/>
        <v>Feb</v>
      </c>
    </row>
    <row r="14" spans="1:16">
      <c r="A14" s="1">
        <v>46061</v>
      </c>
      <c r="B14" s="2" t="s">
        <v>48</v>
      </c>
      <c r="C14" s="2" t="s">
        <v>35</v>
      </c>
      <c r="D14" s="2" t="s">
        <v>11</v>
      </c>
      <c r="E14" s="2" t="s">
        <v>6</v>
      </c>
      <c r="F14" s="2" t="s">
        <v>18</v>
      </c>
      <c r="G14" s="2">
        <v>500</v>
      </c>
      <c r="H14" s="2">
        <v>460</v>
      </c>
      <c r="I14" s="2">
        <v>322000</v>
      </c>
      <c r="J14" s="2">
        <v>250000</v>
      </c>
      <c r="K14" s="2">
        <v>9</v>
      </c>
      <c r="L14" s="2">
        <f t="shared" si="0"/>
        <v>72000</v>
      </c>
      <c r="M14" s="2">
        <f t="shared" si="1"/>
        <v>40</v>
      </c>
      <c r="N14" s="5">
        <f t="shared" si="2"/>
        <v>1.7999999999999999E-2</v>
      </c>
      <c r="O14" s="5">
        <f t="shared" si="3"/>
        <v>0.92</v>
      </c>
      <c r="P14" s="5" t="str">
        <f t="shared" si="4"/>
        <v>Feb</v>
      </c>
    </row>
    <row r="15" spans="1:16">
      <c r="A15" s="1">
        <v>46064</v>
      </c>
      <c r="B15" s="2" t="s">
        <v>49</v>
      </c>
      <c r="C15" s="2" t="s">
        <v>37</v>
      </c>
      <c r="D15" s="2" t="s">
        <v>9</v>
      </c>
      <c r="E15" s="2" t="s">
        <v>3</v>
      </c>
      <c r="F15" s="2" t="s">
        <v>19</v>
      </c>
      <c r="G15" s="2">
        <v>700</v>
      </c>
      <c r="H15" s="2">
        <v>640</v>
      </c>
      <c r="I15" s="2">
        <v>320000</v>
      </c>
      <c r="J15" s="2">
        <v>250000</v>
      </c>
      <c r="K15" s="2">
        <v>14</v>
      </c>
      <c r="L15" s="2">
        <f t="shared" si="0"/>
        <v>70000</v>
      </c>
      <c r="M15" s="2">
        <f t="shared" si="1"/>
        <v>60</v>
      </c>
      <c r="N15" s="5">
        <f t="shared" si="2"/>
        <v>0.02</v>
      </c>
      <c r="O15" s="5">
        <f t="shared" si="3"/>
        <v>0.91428571428571426</v>
      </c>
      <c r="P15" s="5" t="str">
        <f t="shared" si="4"/>
        <v>Feb</v>
      </c>
    </row>
    <row r="16" spans="1:16">
      <c r="A16" s="1">
        <v>46067</v>
      </c>
      <c r="B16" s="2" t="s">
        <v>50</v>
      </c>
      <c r="C16" s="2" t="s">
        <v>35</v>
      </c>
      <c r="D16" s="2" t="s">
        <v>10</v>
      </c>
      <c r="E16" s="2" t="s">
        <v>5</v>
      </c>
      <c r="F16" s="2" t="s">
        <v>20</v>
      </c>
      <c r="G16" s="2">
        <v>400</v>
      </c>
      <c r="H16" s="2">
        <v>360</v>
      </c>
      <c r="I16" s="2">
        <v>216000</v>
      </c>
      <c r="J16" s="2">
        <v>170000</v>
      </c>
      <c r="K16" s="2">
        <v>6</v>
      </c>
      <c r="L16" s="2">
        <f t="shared" si="0"/>
        <v>46000</v>
      </c>
      <c r="M16" s="2">
        <f t="shared" si="1"/>
        <v>40</v>
      </c>
      <c r="N16" s="5">
        <f t="shared" si="2"/>
        <v>1.4999999999999999E-2</v>
      </c>
      <c r="O16" s="5">
        <f t="shared" si="3"/>
        <v>0.9</v>
      </c>
      <c r="P16" s="5" t="str">
        <f t="shared" si="4"/>
        <v>Feb</v>
      </c>
    </row>
    <row r="17" spans="1:16">
      <c r="A17" s="1">
        <v>46071</v>
      </c>
      <c r="B17" s="2" t="s">
        <v>51</v>
      </c>
      <c r="C17" s="2" t="s">
        <v>37</v>
      </c>
      <c r="D17" s="2" t="s">
        <v>12</v>
      </c>
      <c r="E17" s="2" t="s">
        <v>6</v>
      </c>
      <c r="F17" s="2" t="s">
        <v>18</v>
      </c>
      <c r="G17" s="2">
        <v>550</v>
      </c>
      <c r="H17" s="2">
        <v>510</v>
      </c>
      <c r="I17" s="2">
        <v>357000</v>
      </c>
      <c r="J17" s="2">
        <v>275000</v>
      </c>
      <c r="K17" s="2">
        <v>12</v>
      </c>
      <c r="L17" s="2">
        <f t="shared" si="0"/>
        <v>82000</v>
      </c>
      <c r="M17" s="2">
        <f t="shared" si="1"/>
        <v>40</v>
      </c>
      <c r="N17" s="5">
        <f t="shared" si="2"/>
        <v>2.181818181818182E-2</v>
      </c>
      <c r="O17" s="5">
        <f t="shared" si="3"/>
        <v>0.92727272727272725</v>
      </c>
      <c r="P17" s="5" t="str">
        <f t="shared" si="4"/>
        <v>Feb</v>
      </c>
    </row>
    <row r="18" spans="1:16">
      <c r="A18" s="1">
        <v>46074</v>
      </c>
      <c r="B18" s="2" t="s">
        <v>52</v>
      </c>
      <c r="C18" s="2" t="s">
        <v>35</v>
      </c>
      <c r="D18" s="2" t="s">
        <v>9</v>
      </c>
      <c r="E18" s="2" t="s">
        <v>4</v>
      </c>
      <c r="F18" s="2" t="s">
        <v>19</v>
      </c>
      <c r="G18" s="2">
        <v>750</v>
      </c>
      <c r="H18" s="2">
        <v>680</v>
      </c>
      <c r="I18" s="2">
        <v>204000</v>
      </c>
      <c r="J18" s="2">
        <v>158000</v>
      </c>
      <c r="K18" s="2">
        <v>22</v>
      </c>
      <c r="L18" s="2">
        <f t="shared" si="0"/>
        <v>46000</v>
      </c>
      <c r="M18" s="2">
        <f t="shared" si="1"/>
        <v>70</v>
      </c>
      <c r="N18" s="5">
        <f t="shared" si="2"/>
        <v>2.9333333333333333E-2</v>
      </c>
      <c r="O18" s="5">
        <f t="shared" si="3"/>
        <v>0.90666666666666662</v>
      </c>
      <c r="P18" s="5" t="str">
        <f t="shared" si="4"/>
        <v>Feb</v>
      </c>
    </row>
    <row r="19" spans="1:16">
      <c r="A19" s="1">
        <v>46077</v>
      </c>
      <c r="B19" s="2" t="s">
        <v>53</v>
      </c>
      <c r="C19" s="2" t="s">
        <v>37</v>
      </c>
      <c r="D19" s="2" t="s">
        <v>11</v>
      </c>
      <c r="E19" s="2" t="s">
        <v>3</v>
      </c>
      <c r="F19" s="2" t="s">
        <v>20</v>
      </c>
      <c r="G19" s="2">
        <v>480</v>
      </c>
      <c r="H19" s="2">
        <v>430</v>
      </c>
      <c r="I19" s="2">
        <v>215000</v>
      </c>
      <c r="J19" s="2">
        <v>168000</v>
      </c>
      <c r="K19" s="2">
        <v>10</v>
      </c>
      <c r="L19" s="2">
        <f t="shared" si="0"/>
        <v>47000</v>
      </c>
      <c r="M19" s="2">
        <f t="shared" si="1"/>
        <v>50</v>
      </c>
      <c r="N19" s="5">
        <f t="shared" si="2"/>
        <v>2.0833333333333332E-2</v>
      </c>
      <c r="O19" s="5">
        <f t="shared" si="3"/>
        <v>0.89583333333333337</v>
      </c>
      <c r="P19" s="5" t="str">
        <f t="shared" si="4"/>
        <v>Feb</v>
      </c>
    </row>
    <row r="20" spans="1:16">
      <c r="A20" s="1">
        <v>46080</v>
      </c>
      <c r="B20" s="2" t="s">
        <v>54</v>
      </c>
      <c r="C20" s="2" t="s">
        <v>35</v>
      </c>
      <c r="D20" s="2" t="s">
        <v>12</v>
      </c>
      <c r="E20" s="2" t="s">
        <v>6</v>
      </c>
      <c r="F20" s="2" t="s">
        <v>18</v>
      </c>
      <c r="G20" s="2">
        <v>600</v>
      </c>
      <c r="H20" s="2">
        <v>550</v>
      </c>
      <c r="I20" s="2">
        <v>385000</v>
      </c>
      <c r="J20" s="2">
        <v>295000</v>
      </c>
      <c r="K20" s="2">
        <v>11</v>
      </c>
      <c r="L20" s="2">
        <f t="shared" si="0"/>
        <v>90000</v>
      </c>
      <c r="M20" s="2">
        <f t="shared" si="1"/>
        <v>50</v>
      </c>
      <c r="N20" s="5">
        <f t="shared" si="2"/>
        <v>1.8333333333333333E-2</v>
      </c>
      <c r="O20" s="5">
        <f t="shared" si="3"/>
        <v>0.91666666666666663</v>
      </c>
      <c r="P20" s="5" t="str">
        <f t="shared" si="4"/>
        <v>Feb</v>
      </c>
    </row>
    <row r="21" spans="1:16">
      <c r="A21" s="1">
        <v>46083</v>
      </c>
      <c r="B21" s="2" t="s">
        <v>55</v>
      </c>
      <c r="C21" s="2" t="s">
        <v>37</v>
      </c>
      <c r="D21" s="2" t="s">
        <v>10</v>
      </c>
      <c r="E21" s="2" t="s">
        <v>5</v>
      </c>
      <c r="F21" s="2" t="s">
        <v>19</v>
      </c>
      <c r="G21" s="2">
        <v>420</v>
      </c>
      <c r="H21" s="2">
        <v>380</v>
      </c>
      <c r="I21" s="2">
        <v>228000</v>
      </c>
      <c r="J21" s="2">
        <v>178000</v>
      </c>
      <c r="K21" s="2">
        <v>7</v>
      </c>
      <c r="L21" s="2">
        <f t="shared" si="0"/>
        <v>50000</v>
      </c>
      <c r="M21" s="2">
        <f t="shared" si="1"/>
        <v>40</v>
      </c>
      <c r="N21" s="5">
        <f t="shared" si="2"/>
        <v>1.6666666666666666E-2</v>
      </c>
      <c r="O21" s="5">
        <f t="shared" si="3"/>
        <v>0.90476190476190477</v>
      </c>
      <c r="P21" s="5" t="str">
        <f t="shared" si="4"/>
        <v>Mar</v>
      </c>
    </row>
    <row r="22" spans="1:16">
      <c r="A22" s="1">
        <v>46086</v>
      </c>
      <c r="B22" s="2" t="s">
        <v>56</v>
      </c>
      <c r="C22" s="2" t="s">
        <v>35</v>
      </c>
      <c r="D22" s="2" t="s">
        <v>9</v>
      </c>
      <c r="E22" s="2" t="s">
        <v>3</v>
      </c>
      <c r="F22" s="2" t="s">
        <v>20</v>
      </c>
      <c r="G22" s="2">
        <v>650</v>
      </c>
      <c r="H22" s="2">
        <v>590</v>
      </c>
      <c r="I22" s="2">
        <v>295000</v>
      </c>
      <c r="J22" s="2">
        <v>230000</v>
      </c>
      <c r="K22" s="2">
        <v>15</v>
      </c>
      <c r="L22" s="2">
        <f t="shared" si="0"/>
        <v>65000</v>
      </c>
      <c r="M22" s="2">
        <f t="shared" si="1"/>
        <v>60</v>
      </c>
      <c r="N22" s="5">
        <f t="shared" si="2"/>
        <v>2.3076923076923078E-2</v>
      </c>
      <c r="O22" s="5">
        <f t="shared" si="3"/>
        <v>0.90769230769230769</v>
      </c>
      <c r="P22" s="5" t="str">
        <f t="shared" si="4"/>
        <v>Mar</v>
      </c>
    </row>
    <row r="23" spans="1:16">
      <c r="A23" s="1">
        <v>46089</v>
      </c>
      <c r="B23" s="2" t="s">
        <v>57</v>
      </c>
      <c r="C23" s="2" t="s">
        <v>37</v>
      </c>
      <c r="D23" s="2" t="s">
        <v>12</v>
      </c>
      <c r="E23" s="2" t="s">
        <v>4</v>
      </c>
      <c r="F23" s="2" t="s">
        <v>18</v>
      </c>
      <c r="G23" s="2">
        <v>800</v>
      </c>
      <c r="H23" s="2">
        <v>720</v>
      </c>
      <c r="I23" s="2">
        <v>216000</v>
      </c>
      <c r="J23" s="2">
        <v>165000</v>
      </c>
      <c r="K23" s="2">
        <v>24</v>
      </c>
      <c r="L23" s="2">
        <f t="shared" si="0"/>
        <v>51000</v>
      </c>
      <c r="M23" s="2">
        <f t="shared" si="1"/>
        <v>80</v>
      </c>
      <c r="N23" s="5">
        <f t="shared" si="2"/>
        <v>0.03</v>
      </c>
      <c r="O23" s="5">
        <f t="shared" si="3"/>
        <v>0.9</v>
      </c>
      <c r="P23" s="5" t="str">
        <f t="shared" si="4"/>
        <v>Mar</v>
      </c>
    </row>
    <row r="24" spans="1:16">
      <c r="A24" s="1">
        <v>46092</v>
      </c>
      <c r="B24" s="2" t="s">
        <v>58</v>
      </c>
      <c r="C24" s="2" t="s">
        <v>35</v>
      </c>
      <c r="D24" s="2" t="s">
        <v>11</v>
      </c>
      <c r="E24" s="2" t="s">
        <v>6</v>
      </c>
      <c r="F24" s="2" t="s">
        <v>19</v>
      </c>
      <c r="G24" s="2">
        <v>520</v>
      </c>
      <c r="H24" s="2">
        <v>480</v>
      </c>
      <c r="I24" s="2">
        <v>336000</v>
      </c>
      <c r="J24" s="2">
        <v>260000</v>
      </c>
      <c r="K24" s="2">
        <v>10</v>
      </c>
      <c r="L24" s="2">
        <f t="shared" si="0"/>
        <v>76000</v>
      </c>
      <c r="M24" s="2">
        <f t="shared" si="1"/>
        <v>40</v>
      </c>
      <c r="N24" s="5">
        <f t="shared" si="2"/>
        <v>1.9230769230769232E-2</v>
      </c>
      <c r="O24" s="5">
        <f t="shared" si="3"/>
        <v>0.92307692307692313</v>
      </c>
      <c r="P24" s="5" t="str">
        <f t="shared" si="4"/>
        <v>Mar</v>
      </c>
    </row>
    <row r="25" spans="1:16">
      <c r="A25" s="1">
        <v>46095</v>
      </c>
      <c r="B25" s="2" t="s">
        <v>59</v>
      </c>
      <c r="C25" s="2" t="s">
        <v>37</v>
      </c>
      <c r="D25" s="2" t="s">
        <v>9</v>
      </c>
      <c r="E25" s="2" t="s">
        <v>5</v>
      </c>
      <c r="F25" s="2" t="s">
        <v>20</v>
      </c>
      <c r="G25" s="2">
        <v>460</v>
      </c>
      <c r="H25" s="2">
        <v>410</v>
      </c>
      <c r="I25" s="2">
        <v>246000</v>
      </c>
      <c r="J25" s="2">
        <v>190000</v>
      </c>
      <c r="K25" s="2">
        <v>9</v>
      </c>
      <c r="L25" s="2">
        <f t="shared" si="0"/>
        <v>56000</v>
      </c>
      <c r="M25" s="2">
        <f t="shared" si="1"/>
        <v>50</v>
      </c>
      <c r="N25" s="5">
        <f t="shared" si="2"/>
        <v>1.9565217391304349E-2</v>
      </c>
      <c r="O25" s="5">
        <f t="shared" si="3"/>
        <v>0.89130434782608692</v>
      </c>
      <c r="P25" s="5" t="str">
        <f t="shared" si="4"/>
        <v>Mar</v>
      </c>
    </row>
    <row r="26" spans="1:16">
      <c r="A26" s="1">
        <v>46098</v>
      </c>
      <c r="B26" s="2" t="s">
        <v>60</v>
      </c>
      <c r="C26" s="2" t="s">
        <v>35</v>
      </c>
      <c r="D26" s="2" t="s">
        <v>10</v>
      </c>
      <c r="E26" s="2" t="s">
        <v>3</v>
      </c>
      <c r="F26" s="2" t="s">
        <v>18</v>
      </c>
      <c r="G26" s="2">
        <v>700</v>
      </c>
      <c r="H26" s="2">
        <v>630</v>
      </c>
      <c r="I26" s="2">
        <v>315000</v>
      </c>
      <c r="J26" s="2">
        <v>245000</v>
      </c>
      <c r="K26" s="2">
        <v>16</v>
      </c>
      <c r="L26" s="2">
        <f t="shared" si="0"/>
        <v>70000</v>
      </c>
      <c r="M26" s="2">
        <f t="shared" si="1"/>
        <v>70</v>
      </c>
      <c r="N26" s="5">
        <f t="shared" si="2"/>
        <v>2.2857142857142857E-2</v>
      </c>
      <c r="O26" s="5">
        <f t="shared" si="3"/>
        <v>0.9</v>
      </c>
      <c r="P26" s="5" t="str">
        <f t="shared" si="4"/>
        <v>Mar</v>
      </c>
    </row>
    <row r="27" spans="1:16">
      <c r="A27" s="1">
        <v>46101</v>
      </c>
      <c r="B27" s="2" t="s">
        <v>61</v>
      </c>
      <c r="C27" s="2" t="s">
        <v>37</v>
      </c>
      <c r="D27" s="2" t="s">
        <v>11</v>
      </c>
      <c r="E27" s="2" t="s">
        <v>6</v>
      </c>
      <c r="F27" s="2" t="s">
        <v>19</v>
      </c>
      <c r="G27" s="2">
        <v>580</v>
      </c>
      <c r="H27" s="2">
        <v>530</v>
      </c>
      <c r="I27" s="2">
        <v>371000</v>
      </c>
      <c r="J27" s="2">
        <v>285000</v>
      </c>
      <c r="K27" s="2">
        <v>13</v>
      </c>
      <c r="L27" s="2">
        <f t="shared" si="0"/>
        <v>86000</v>
      </c>
      <c r="M27" s="2">
        <f t="shared" si="1"/>
        <v>50</v>
      </c>
      <c r="N27" s="5">
        <f t="shared" si="2"/>
        <v>2.2413793103448276E-2</v>
      </c>
      <c r="O27" s="5">
        <f t="shared" si="3"/>
        <v>0.91379310344827591</v>
      </c>
      <c r="P27" s="5" t="str">
        <f t="shared" si="4"/>
        <v>Mar</v>
      </c>
    </row>
    <row r="28" spans="1:16">
      <c r="A28" s="1">
        <v>46104</v>
      </c>
      <c r="B28" s="2" t="s">
        <v>62</v>
      </c>
      <c r="C28" s="2" t="s">
        <v>35</v>
      </c>
      <c r="D28" s="2" t="s">
        <v>12</v>
      </c>
      <c r="E28" s="2" t="s">
        <v>4</v>
      </c>
      <c r="F28" s="2" t="s">
        <v>20</v>
      </c>
      <c r="G28" s="2">
        <v>720</v>
      </c>
      <c r="H28" s="2">
        <v>650</v>
      </c>
      <c r="I28" s="2">
        <v>195000</v>
      </c>
      <c r="J28" s="2">
        <v>150000</v>
      </c>
      <c r="K28" s="2">
        <v>19</v>
      </c>
      <c r="L28" s="2">
        <f t="shared" si="0"/>
        <v>45000</v>
      </c>
      <c r="M28" s="2">
        <f t="shared" si="1"/>
        <v>70</v>
      </c>
      <c r="N28" s="5">
        <f t="shared" si="2"/>
        <v>2.6388888888888889E-2</v>
      </c>
      <c r="O28" s="5">
        <f t="shared" si="3"/>
        <v>0.90277777777777779</v>
      </c>
      <c r="P28" s="5" t="str">
        <f t="shared" si="4"/>
        <v>Mar</v>
      </c>
    </row>
    <row r="29" spans="1:16">
      <c r="A29" s="1">
        <v>46107</v>
      </c>
      <c r="B29" s="2" t="s">
        <v>63</v>
      </c>
      <c r="C29" s="2" t="s">
        <v>37</v>
      </c>
      <c r="D29" s="2" t="s">
        <v>10</v>
      </c>
      <c r="E29" s="2" t="s">
        <v>3</v>
      </c>
      <c r="F29" s="2" t="s">
        <v>18</v>
      </c>
      <c r="G29" s="2">
        <v>620</v>
      </c>
      <c r="H29" s="2">
        <v>570</v>
      </c>
      <c r="I29" s="2">
        <v>285000</v>
      </c>
      <c r="J29" s="2">
        <v>222000</v>
      </c>
      <c r="K29" s="2">
        <v>12</v>
      </c>
      <c r="L29" s="2">
        <f t="shared" si="0"/>
        <v>63000</v>
      </c>
      <c r="M29" s="2">
        <f t="shared" si="1"/>
        <v>50</v>
      </c>
      <c r="N29" s="5">
        <f t="shared" si="2"/>
        <v>1.935483870967742E-2</v>
      </c>
      <c r="O29" s="5">
        <f t="shared" si="3"/>
        <v>0.91935483870967738</v>
      </c>
      <c r="P29" s="5" t="str">
        <f t="shared" si="4"/>
        <v>Mar</v>
      </c>
    </row>
    <row r="30" spans="1:16">
      <c r="A30" s="1">
        <v>46110</v>
      </c>
      <c r="B30" s="2" t="s">
        <v>64</v>
      </c>
      <c r="C30" s="2" t="s">
        <v>35</v>
      </c>
      <c r="D30" s="2" t="s">
        <v>9</v>
      </c>
      <c r="E30" s="2" t="s">
        <v>5</v>
      </c>
      <c r="F30" s="2" t="s">
        <v>19</v>
      </c>
      <c r="G30" s="2">
        <v>500</v>
      </c>
      <c r="H30" s="2">
        <v>450</v>
      </c>
      <c r="I30" s="2">
        <v>270000</v>
      </c>
      <c r="J30" s="2">
        <v>210000</v>
      </c>
      <c r="K30" s="2">
        <v>8</v>
      </c>
      <c r="L30" s="2">
        <f t="shared" si="0"/>
        <v>60000</v>
      </c>
      <c r="M30" s="2">
        <f t="shared" si="1"/>
        <v>50</v>
      </c>
      <c r="N30" s="5">
        <f t="shared" si="2"/>
        <v>1.6E-2</v>
      </c>
      <c r="O30" s="5">
        <f t="shared" si="3"/>
        <v>0.9</v>
      </c>
      <c r="P30" s="5" t="str">
        <f t="shared" si="4"/>
        <v>Mar</v>
      </c>
    </row>
    <row r="31" spans="1:16">
      <c r="A31" s="1">
        <v>46112</v>
      </c>
      <c r="B31" s="2" t="s">
        <v>65</v>
      </c>
      <c r="C31" s="2" t="s">
        <v>37</v>
      </c>
      <c r="D31" s="2" t="s">
        <v>12</v>
      </c>
      <c r="E31" s="2" t="s">
        <v>6</v>
      </c>
      <c r="F31" s="2" t="s">
        <v>20</v>
      </c>
      <c r="G31" s="2">
        <v>680</v>
      </c>
      <c r="H31" s="2">
        <v>620</v>
      </c>
      <c r="I31" s="2">
        <v>434000</v>
      </c>
      <c r="J31" s="2">
        <v>335000</v>
      </c>
      <c r="K31" s="2">
        <v>14</v>
      </c>
      <c r="L31" s="2">
        <f t="shared" si="0"/>
        <v>99000</v>
      </c>
      <c r="M31" s="2">
        <f t="shared" si="1"/>
        <v>60</v>
      </c>
      <c r="N31" s="5">
        <f t="shared" si="2"/>
        <v>2.0588235294117647E-2</v>
      </c>
      <c r="O31" s="5">
        <f t="shared" si="3"/>
        <v>0.91176470588235292</v>
      </c>
      <c r="P31" s="5" t="str">
        <f t="shared" si="4"/>
        <v>Mar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ACD4-535F-408B-AA8A-2E20FDE4816B}">
  <dimension ref="A1:N11"/>
  <sheetViews>
    <sheetView tabSelected="1" topLeftCell="A28" workbookViewId="0">
      <selection activeCell="E10" sqref="E10"/>
    </sheetView>
  </sheetViews>
  <sheetFormatPr defaultRowHeight="15"/>
  <cols>
    <col min="1" max="1" width="73.28515625" customWidth="1"/>
    <col min="2" max="2" width="72" customWidth="1"/>
    <col min="3" max="3" width="15.28515625" style="8" customWidth="1"/>
    <col min="4" max="4" width="9.140625" style="8"/>
    <col min="5" max="5" width="27.28515625" customWidth="1"/>
    <col min="7" max="7" width="22.5703125" customWidth="1"/>
    <col min="10" max="10" width="26.28515625" customWidth="1"/>
    <col min="11" max="11" width="29.140625" customWidth="1"/>
  </cols>
  <sheetData>
    <row r="1" spans="1:14" ht="26.25">
      <c r="A1" s="11" t="s">
        <v>66</v>
      </c>
      <c r="B1" s="12"/>
    </row>
    <row r="2" spans="1:14" ht="26.25">
      <c r="A2" s="20" t="s">
        <v>67</v>
      </c>
      <c r="B2" s="21"/>
      <c r="C2" s="9"/>
      <c r="D2" s="9"/>
    </row>
    <row r="4" spans="1:14" ht="23.25">
      <c r="A4" s="13" t="s">
        <v>68</v>
      </c>
      <c r="B4" s="13" t="s">
        <v>69</v>
      </c>
      <c r="F4" s="8"/>
    </row>
    <row r="5" spans="1:14" ht="23.25">
      <c r="A5" s="14">
        <f>SUM(Sales!I2:I31)</f>
        <v>7951000</v>
      </c>
      <c r="B5" s="15">
        <f>SUM(Sales!L2:L31)</f>
        <v>1765000</v>
      </c>
      <c r="F5" s="8"/>
    </row>
    <row r="6" spans="1:14" ht="23.25">
      <c r="A6" s="16"/>
      <c r="B6" s="16"/>
      <c r="M6" s="10"/>
      <c r="N6" s="10"/>
    </row>
    <row r="7" spans="1:14" ht="23.25">
      <c r="A7" s="13" t="s">
        <v>70</v>
      </c>
      <c r="B7" s="13" t="s">
        <v>71</v>
      </c>
    </row>
    <row r="8" spans="1:14" ht="23.25">
      <c r="A8" s="17">
        <f>SUM(Sales!G2:G31)</f>
        <v>16680</v>
      </c>
      <c r="B8" s="17">
        <f>SUM(Sales!H2:H31)</f>
        <v>15150</v>
      </c>
    </row>
    <row r="9" spans="1:14" ht="23.25">
      <c r="A9" s="16"/>
      <c r="B9" s="16"/>
    </row>
    <row r="10" spans="1:14" ht="23.25">
      <c r="A10" s="13" t="s">
        <v>72</v>
      </c>
      <c r="B10" s="18"/>
    </row>
    <row r="11" spans="1:14" ht="23.25">
      <c r="A11" s="19">
        <f>AVERAGE(Sales!N2:N31)</f>
        <v>2.1427417441369733E-2</v>
      </c>
      <c r="B11" s="18"/>
    </row>
  </sheetData>
  <mergeCells count="2">
    <mergeCell ref="A1:B1"/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2026-09-23T17:23:42Z</dcterms:created>
  <dcterms:modified xsi:type="dcterms:W3CDTF">2026-09-23T19:26:25Z</dcterms:modified>
  <cp:category/>
  <cp:contentStatus/>
</cp:coreProperties>
</file>